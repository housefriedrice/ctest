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/>
  <xr:revisionPtr revIDLastSave="0" documentId="8_{5C57E662-DED5-43F1-AADA-A69062035403}" xr6:coauthVersionLast="46" xr6:coauthVersionMax="46" xr10:uidLastSave="{00000000-0000-0000-0000-000000000000}"/>
  <bookViews>
    <workbookView xWindow="30015" yWindow="1035" windowWidth="23385" windowHeight="14460" xr2:uid="{00000000-000D-0000-FFFF-FFFF00000000}"/>
  </bookViews>
  <sheets>
    <sheet name="Detail" sheetId="1" r:id="rId1"/>
    <sheet name="Summary" sheetId="2" r:id="rId2"/>
  </sheets>
  <definedNames>
    <definedName name="_xlnm.Print_Titles" localSheetId="0">Detail!$2:$2</definedName>
    <definedName name="_xlnm.Print_Titles" localSheetId="1">Summary!$3:$3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G3" i="1"/>
  <c r="I3" i="1" l="1"/>
</calcChain>
</file>

<file path=xl/sharedStrings.xml><?xml version="1.0" encoding="utf-8"?>
<sst xmlns="http://schemas.openxmlformats.org/spreadsheetml/2006/main" count="597" uniqueCount="348">
  <si>
    <t>ITEM</t>
  </si>
  <si>
    <t>DESCRIPTION</t>
  </si>
  <si>
    <t>GROUP</t>
  </si>
  <si>
    <t>CAT</t>
  </si>
  <si>
    <t>VAR %</t>
  </si>
  <si>
    <t>16150</t>
  </si>
  <si>
    <t>100</t>
  </si>
  <si>
    <t>HX CP PL USS3/8X1-1/2  8</t>
  </si>
  <si>
    <t>024</t>
  </si>
  <si>
    <t>1</t>
  </si>
  <si>
    <t>16206</t>
  </si>
  <si>
    <t>HX CP PL USS1/2X3-1/2  8</t>
  </si>
  <si>
    <t>16253</t>
  </si>
  <si>
    <t>HX CP PL USS5/8X6-1/2  8</t>
  </si>
  <si>
    <t>16606</t>
  </si>
  <si>
    <t>HX CP PL USS1/4X1-1/2  8</t>
  </si>
  <si>
    <t>026</t>
  </si>
  <si>
    <t>16607</t>
  </si>
  <si>
    <t>HX CP PL USS1/4X1-3/4  8</t>
  </si>
  <si>
    <t>16608</t>
  </si>
  <si>
    <t>HX CP PL USS1/4X2      8</t>
  </si>
  <si>
    <t>16610</t>
  </si>
  <si>
    <t>HX CP PL USS1/4X2-1/2  8</t>
  </si>
  <si>
    <t>16625</t>
  </si>
  <si>
    <t>HX CP PL USS5/16X1     8</t>
  </si>
  <si>
    <t>16627</t>
  </si>
  <si>
    <t>HX CP PL USS5/16X1-1/2 8</t>
  </si>
  <si>
    <t>16628</t>
  </si>
  <si>
    <t>HX CP PL USS5/16X1-3/4 8</t>
  </si>
  <si>
    <t>16633</t>
  </si>
  <si>
    <t>HX CP PL USS5/16X3     8</t>
  </si>
  <si>
    <t>16635</t>
  </si>
  <si>
    <t>HX CP PL USS5/16X3-1/2 8</t>
  </si>
  <si>
    <t>16637</t>
  </si>
  <si>
    <t>HX CP PL USS5/16X4     8</t>
  </si>
  <si>
    <t>16638</t>
  </si>
  <si>
    <t>HX CP PL USS5/16X4-1/2 8</t>
  </si>
  <si>
    <t>16639</t>
  </si>
  <si>
    <t>HX CP PL USS5/16X5     8</t>
  </si>
  <si>
    <t>16644</t>
  </si>
  <si>
    <t>HX CP PL USS1/4-20X8,ZN</t>
  </si>
  <si>
    <t>16651</t>
  </si>
  <si>
    <t>HX CP PL USS3/8X1-3/4  8</t>
  </si>
  <si>
    <t>16652</t>
  </si>
  <si>
    <t>HX CP PL USS3/8X2      8</t>
  </si>
  <si>
    <t>16738</t>
  </si>
  <si>
    <t>HX CP PL USS5/8X1-1/2  8</t>
  </si>
  <si>
    <t>16742</t>
  </si>
  <si>
    <t>HX CP PL USS5/8X2-1/2  8</t>
  </si>
  <si>
    <t>16744</t>
  </si>
  <si>
    <t>HX CP PL USS5/8X3      8</t>
  </si>
  <si>
    <t>16746</t>
  </si>
  <si>
    <t>HX CP PL USS5/8X3-1/2  8</t>
  </si>
  <si>
    <t>18514</t>
  </si>
  <si>
    <t>BUTTONHEAD5/16-18X1/2</t>
  </si>
  <si>
    <t>027</t>
  </si>
  <si>
    <t>A</t>
  </si>
  <si>
    <t>18623</t>
  </si>
  <si>
    <t>SKT FL HD5/16-18X3/4</t>
  </si>
  <si>
    <t>033</t>
  </si>
  <si>
    <t>34417</t>
  </si>
  <si>
    <t>PH PAN MACH8-32X3/8</t>
  </si>
  <si>
    <t>045</t>
  </si>
  <si>
    <t>34432</t>
  </si>
  <si>
    <t>PH PAN MCH10-24X3/8</t>
  </si>
  <si>
    <t>40150</t>
  </si>
  <si>
    <t>FN HEX 8 PL1/4-20</t>
  </si>
  <si>
    <t>049</t>
  </si>
  <si>
    <t>40154</t>
  </si>
  <si>
    <t>FN HEX 8 PL3/8-16</t>
  </si>
  <si>
    <t>42136</t>
  </si>
  <si>
    <t>NYLON JAMNUT1/4-20 USS</t>
  </si>
  <si>
    <t>059</t>
  </si>
  <si>
    <t>42138</t>
  </si>
  <si>
    <t>NYLON JAMNUT5/16-18</t>
  </si>
  <si>
    <t>42146</t>
  </si>
  <si>
    <t>NYLON JAMNUT1/2-13</t>
  </si>
  <si>
    <t>42148</t>
  </si>
  <si>
    <t>NYLON JAMNUT5/8-11 USS</t>
  </si>
  <si>
    <t>54106</t>
  </si>
  <si>
    <t>HEX JAM NUT1/4-20</t>
  </si>
  <si>
    <t>54108</t>
  </si>
  <si>
    <t>HEX JAM NUT5/16-18</t>
  </si>
  <si>
    <t>54110</t>
  </si>
  <si>
    <t>HEX JAM NUT3/8-16</t>
  </si>
  <si>
    <t>54114</t>
  </si>
  <si>
    <t>HEX JAM NUT1/2-13</t>
  </si>
  <si>
    <t>54118</t>
  </si>
  <si>
    <t>HEX JAM NUT5/8-11</t>
  </si>
  <si>
    <t>57106</t>
  </si>
  <si>
    <t>LOCK NUT C P1/4-20</t>
  </si>
  <si>
    <t>061</t>
  </si>
  <si>
    <t>57110</t>
  </si>
  <si>
    <t>LOCK NUT C P3/8-16</t>
  </si>
  <si>
    <t>57114</t>
  </si>
  <si>
    <t>LOCK NUT C P1/2-13</t>
  </si>
  <si>
    <t>62372</t>
  </si>
  <si>
    <t>PH PAN SMS#8(M4)X1/2(12M</t>
  </si>
  <si>
    <t>063</t>
  </si>
  <si>
    <t>87611</t>
  </si>
  <si>
    <t>THICK WSHR1/4 G8 FLAT</t>
  </si>
  <si>
    <t>078</t>
  </si>
  <si>
    <t>87612</t>
  </si>
  <si>
    <t>THICK WSHR5/16 GR8 FLT</t>
  </si>
  <si>
    <t>87613</t>
  </si>
  <si>
    <t>THICK WSHR3/8 GR8 FLT</t>
  </si>
  <si>
    <t>87614</t>
  </si>
  <si>
    <t>THICK WSHR7/16 GR8 FLT</t>
  </si>
  <si>
    <t>24601</t>
  </si>
  <si>
    <t>CRIMP SLEEVEFOR3/32CABLE</t>
  </si>
  <si>
    <t>091</t>
  </si>
  <si>
    <t>B</t>
  </si>
  <si>
    <t>71864</t>
  </si>
  <si>
    <t>2/0 1/2BATTERY LUGS</t>
  </si>
  <si>
    <t>092</t>
  </si>
  <si>
    <t>E</t>
  </si>
  <si>
    <t>71891</t>
  </si>
  <si>
    <t>1   3/8BATTERY LUGS</t>
  </si>
  <si>
    <t>74420-1</t>
  </si>
  <si>
    <t>PLASTIC WIRE20 GA YELLOW</t>
  </si>
  <si>
    <t>74420-2</t>
  </si>
  <si>
    <t>PLASTIC WIRE20 GA BROWN</t>
  </si>
  <si>
    <t>74420-3</t>
  </si>
  <si>
    <t>PLASTIC WIRE20 GA GREEN</t>
  </si>
  <si>
    <t>74420-4</t>
  </si>
  <si>
    <t>PLASTIC WIRE20 GA BLUE</t>
  </si>
  <si>
    <t>74420-5</t>
  </si>
  <si>
    <t>PLASTIC WIRE20 GA RED</t>
  </si>
  <si>
    <t>74420-6</t>
  </si>
  <si>
    <t>PLASTIC WIRE20 GA BLACK</t>
  </si>
  <si>
    <t>74420-7</t>
  </si>
  <si>
    <t>PLASTIC WIRE20 GA WHITE</t>
  </si>
  <si>
    <t>70900</t>
  </si>
  <si>
    <t>CLEAR HS BUTT CONN 22-18</t>
  </si>
  <si>
    <t>101</t>
  </si>
  <si>
    <t>70902</t>
  </si>
  <si>
    <t>CLEAR HS BUTT CONN 12-10</t>
  </si>
  <si>
    <t>71892</t>
  </si>
  <si>
    <t>SEAL-A-CRIMPBUTT 22-18</t>
  </si>
  <si>
    <t>71893</t>
  </si>
  <si>
    <t>SEAL-A-CRIMPBUTT 16-14</t>
  </si>
  <si>
    <t>74639</t>
  </si>
  <si>
    <t>BC 500 22-24AWG TO 22-18</t>
  </si>
  <si>
    <t>80200</t>
  </si>
  <si>
    <t>SEAL-A-CRIMPFEM QK DISC</t>
  </si>
  <si>
    <t>80202</t>
  </si>
  <si>
    <t>71026</t>
  </si>
  <si>
    <t>22 18 WIREFEMLE QK SLD</t>
  </si>
  <si>
    <t>103</t>
  </si>
  <si>
    <t>71247</t>
  </si>
  <si>
    <t>NYLON 26-24BUTT CONN</t>
  </si>
  <si>
    <t>71356</t>
  </si>
  <si>
    <t>NYLON TIE BL.18 X 11.5</t>
  </si>
  <si>
    <t>111</t>
  </si>
  <si>
    <t>71379</t>
  </si>
  <si>
    <t>NYLON STR HD.3 X 14.5</t>
  </si>
  <si>
    <t>71385</t>
  </si>
  <si>
    <t>WIRE TIE BLK.1 X 4</t>
  </si>
  <si>
    <t>71386</t>
  </si>
  <si>
    <t>WIRE TIE BLK.19 X 14.5</t>
  </si>
  <si>
    <t>71387</t>
  </si>
  <si>
    <t>WIRE TIE BLK.19 X 7.9</t>
  </si>
  <si>
    <t>71547</t>
  </si>
  <si>
    <t>MOUNT BASE1 SQ BLACK</t>
  </si>
  <si>
    <t>71781</t>
  </si>
  <si>
    <t>SHRINK TUBE1/4 6 pcs</t>
  </si>
  <si>
    <t>114</t>
  </si>
  <si>
    <t>71790</t>
  </si>
  <si>
    <t>SEAL-A-SPLICIII 18-14GA</t>
  </si>
  <si>
    <t>71792</t>
  </si>
  <si>
    <t>SEAL-A-SPLICIII 8ga-1ga</t>
  </si>
  <si>
    <t>71793</t>
  </si>
  <si>
    <t>SEAL-A-SPLICIII 2ga-4/0</t>
  </si>
  <si>
    <t>71796</t>
  </si>
  <si>
    <t>74232</t>
  </si>
  <si>
    <t>BLK HEAT SHRK 1/8X 6</t>
  </si>
  <si>
    <t>74233</t>
  </si>
  <si>
    <t>RED HEAT SHRK 1/8X 6</t>
  </si>
  <si>
    <t>74234</t>
  </si>
  <si>
    <t>BLK HEAT SHRK 3/16X6</t>
  </si>
  <si>
    <t>74235</t>
  </si>
  <si>
    <t>RED HEAT SHRK 3/16X6</t>
  </si>
  <si>
    <t>74238</t>
  </si>
  <si>
    <t>BLK HEAT SHRK 3/8X6</t>
  </si>
  <si>
    <t>72180</t>
  </si>
  <si>
    <t>FUSESATO 3</t>
  </si>
  <si>
    <t>123</t>
  </si>
  <si>
    <t>72182</t>
  </si>
  <si>
    <t>FUSESATO 5</t>
  </si>
  <si>
    <t>72183</t>
  </si>
  <si>
    <t>FUSESATO 7-1/2</t>
  </si>
  <si>
    <t>72184</t>
  </si>
  <si>
    <t>FUSESATO 10</t>
  </si>
  <si>
    <t>72186</t>
  </si>
  <si>
    <t>FUSESATO 20</t>
  </si>
  <si>
    <t>72187</t>
  </si>
  <si>
    <t>FUSESATO 25</t>
  </si>
  <si>
    <t>72188</t>
  </si>
  <si>
    <t>FUSESATO 30</t>
  </si>
  <si>
    <t>72197</t>
  </si>
  <si>
    <t>ATM MINIFUSE 20 AMP</t>
  </si>
  <si>
    <t>72257</t>
  </si>
  <si>
    <t>JCASE AUTOFUSE 20 AMP</t>
  </si>
  <si>
    <t>72258</t>
  </si>
  <si>
    <t>JCASE AUTOFUSE 40 AMP</t>
  </si>
  <si>
    <t>72274</t>
  </si>
  <si>
    <t>MAXI-FUSE60 AMP</t>
  </si>
  <si>
    <t>72681</t>
  </si>
  <si>
    <t>ATM MINI LOWFUSE 10 AMP</t>
  </si>
  <si>
    <t>72682</t>
  </si>
  <si>
    <t>ATM MINI LOWFUSE 15 AMP</t>
  </si>
  <si>
    <t>72984</t>
  </si>
  <si>
    <t>FUSESPAL040</t>
  </si>
  <si>
    <t>72478</t>
  </si>
  <si>
    <t>HOSE CLAMP#6</t>
  </si>
  <si>
    <t>124</t>
  </si>
  <si>
    <t>73501</t>
  </si>
  <si>
    <t>HAIRPIN COTR.042WD X 1</t>
  </si>
  <si>
    <t>134</t>
  </si>
  <si>
    <t>74820</t>
  </si>
  <si>
    <t>RUBBER CUSHCLIP 1/4</t>
  </si>
  <si>
    <t>137</t>
  </si>
  <si>
    <t>76052</t>
  </si>
  <si>
    <t>SAE FLAT PL8</t>
  </si>
  <si>
    <t>143</t>
  </si>
  <si>
    <t>76013</t>
  </si>
  <si>
    <t>USS FLAT GR83/8</t>
  </si>
  <si>
    <t>146</t>
  </si>
  <si>
    <t>76223</t>
  </si>
  <si>
    <t>STAR WASHER#10 EXTERNAL</t>
  </si>
  <si>
    <t>147</t>
  </si>
  <si>
    <t>76225</t>
  </si>
  <si>
    <t>STAR WASHER1/4 EXTERNAL</t>
  </si>
  <si>
    <t>15477</t>
  </si>
  <si>
    <t>HEX CAP 10.9M10X45  D931</t>
  </si>
  <si>
    <t>218</t>
  </si>
  <si>
    <t>12452</t>
  </si>
  <si>
    <t>HEX NUT CL10M8-1.25</t>
  </si>
  <si>
    <t>229</t>
  </si>
  <si>
    <t>12620</t>
  </si>
  <si>
    <t>FLAT WASH MMM6</t>
  </si>
  <si>
    <t>242</t>
  </si>
  <si>
    <t>12621</t>
  </si>
  <si>
    <t>FLAT WASHERM8 HARDENED</t>
  </si>
  <si>
    <t>6502-1</t>
  </si>
  <si>
    <t>PENT LUBE W/PTFE 10-1/2</t>
  </si>
  <si>
    <t>251</t>
  </si>
  <si>
    <t>L</t>
  </si>
  <si>
    <t>6536</t>
  </si>
  <si>
    <t>BRAKE CLEANER 14 OZ NET</t>
  </si>
  <si>
    <t>71639</t>
  </si>
  <si>
    <t>ELECT TAPE33-PLUS  3M</t>
  </si>
  <si>
    <t>252</t>
  </si>
  <si>
    <t>71668</t>
  </si>
  <si>
    <t>ELECTRICALTAPE 3/4X60'</t>
  </si>
  <si>
    <t>6854</t>
  </si>
  <si>
    <t>RIVET NUT1/4-20</t>
  </si>
  <si>
    <t>270</t>
  </si>
  <si>
    <t>75100</t>
  </si>
  <si>
    <t>SPLIT LOOM1/4 x 25 FT</t>
  </si>
  <si>
    <t>294</t>
  </si>
  <si>
    <t>75131</t>
  </si>
  <si>
    <t>SPLIT LOOM3/8X100'</t>
  </si>
  <si>
    <t>75132</t>
  </si>
  <si>
    <t>SPLIT LOOM1/2 X 100'</t>
  </si>
  <si>
    <t>7000</t>
  </si>
  <si>
    <t>PREM RAZORBLADE 100 CT</t>
  </si>
  <si>
    <t>316</t>
  </si>
  <si>
    <t>I</t>
  </si>
  <si>
    <t>37104</t>
  </si>
  <si>
    <t>RETAINR TRIM7/16 DIA STM</t>
  </si>
  <si>
    <t>321</t>
  </si>
  <si>
    <t>N</t>
  </si>
  <si>
    <t>890762</t>
  </si>
  <si>
    <t>RETAINR TRIM6MM HOL</t>
  </si>
  <si>
    <t>891108</t>
  </si>
  <si>
    <t>LIC PLATE SCM6-1.0X20mm</t>
  </si>
  <si>
    <t>69971</t>
  </si>
  <si>
    <t>FLP DISC 80G4.5X5/8-11</t>
  </si>
  <si>
    <t>324</t>
  </si>
  <si>
    <t>J</t>
  </si>
  <si>
    <t>42306</t>
  </si>
  <si>
    <t>NYLON LOCKNUGR.8 1/4-20</t>
  </si>
  <si>
    <t>444</t>
  </si>
  <si>
    <t>42308</t>
  </si>
  <si>
    <t>NYLON LOCNUTGR.8 5/16-18</t>
  </si>
  <si>
    <t>4923</t>
  </si>
  <si>
    <t>TRIM SCREWS8X1/2 PH HD</t>
  </si>
  <si>
    <t>489</t>
  </si>
  <si>
    <t>5065</t>
  </si>
  <si>
    <t>TEC TRIM SCR8X3/4 BLACK</t>
  </si>
  <si>
    <t>890290</t>
  </si>
  <si>
    <t>SCREW 8X1/2PHIL DRIL PT</t>
  </si>
  <si>
    <t>5292</t>
  </si>
  <si>
    <t>RED SHOPTOWELS-ROLLS</t>
  </si>
  <si>
    <t>534</t>
  </si>
  <si>
    <t>M</t>
  </si>
  <si>
    <t>5293</t>
  </si>
  <si>
    <t>BLUE SHOPTOWELS-ROLLS</t>
  </si>
  <si>
    <t>7644</t>
  </si>
  <si>
    <t>3M 2 AUTOMASKING TAPE</t>
  </si>
  <si>
    <t>573</t>
  </si>
  <si>
    <t>89238</t>
  </si>
  <si>
    <t>6 MIL BLACKNITRL GLV XL</t>
  </si>
  <si>
    <t>581</t>
  </si>
  <si>
    <t>K</t>
  </si>
  <si>
    <t>915810-5</t>
  </si>
  <si>
    <t>Service Cord,SJOOW,Black,</t>
  </si>
  <si>
    <t>GRA</t>
  </si>
  <si>
    <t>P</t>
  </si>
  <si>
    <t>915846-5</t>
  </si>
  <si>
    <t>Self DrillScrew,Flat,</t>
  </si>
  <si>
    <t>920050-4</t>
  </si>
  <si>
    <t>Mig WeldingWire,ER70S-6,</t>
  </si>
  <si>
    <t>921724-6</t>
  </si>
  <si>
    <t>HHCS,1/4-20x6-1/2,</t>
  </si>
  <si>
    <t>921732-2</t>
  </si>
  <si>
    <t>HHCS,1/4-20x7,Steel,</t>
  </si>
  <si>
    <t>922935-1</t>
  </si>
  <si>
    <t>Cable Clamp,Nylon,1/4 In,</t>
  </si>
  <si>
    <t>922935-2</t>
  </si>
  <si>
    <t>Cable Clamp,Nylon,3/16</t>
  </si>
  <si>
    <t>926634-1</t>
  </si>
  <si>
    <t>Tire Cleaner,Aerosol Can,</t>
  </si>
  <si>
    <t>934833-4</t>
  </si>
  <si>
    <t>Lg UnsealedSwch,15A,</t>
  </si>
  <si>
    <t>Totals</t>
  </si>
  <si>
    <t>ABRASIVES</t>
  </si>
  <si>
    <t/>
  </si>
  <si>
    <t>Category Summary</t>
  </si>
  <si>
    <t>GRADE 8</t>
  </si>
  <si>
    <t>THREADED FASTENERS</t>
  </si>
  <si>
    <t>HARDWARE</t>
  </si>
  <si>
    <t>ELECTRICAL PRODUCTS</t>
  </si>
  <si>
    <t>CUTTING TOOLS</t>
  </si>
  <si>
    <t>SAFETY PRODUCTS</t>
  </si>
  <si>
    <t>CHEMICALS &amp; PAINT</t>
  </si>
  <si>
    <t>SHOP SUPPLIES</t>
  </si>
  <si>
    <t>VEHICLE PARTS &amp; ACCESSORIES</t>
  </si>
  <si>
    <t xml:space="preserve">United Access - PA Benchmark </t>
  </si>
  <si>
    <t>Current Pricing</t>
  </si>
  <si>
    <t>PA Pricing</t>
  </si>
  <si>
    <t>Last 12 mo usage</t>
  </si>
  <si>
    <t>% CHANGE</t>
  </si>
  <si>
    <t>Product Category</t>
  </si>
  <si>
    <t>MRO PRODUCT</t>
  </si>
  <si>
    <t>Current Price Extention</t>
  </si>
  <si>
    <t>PA Price Extention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</si>
</sst>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0" xfId="0" applyNumberFormat="1"/>
    <xf numFmtId="10" fontId="0" fillId="0" borderId="0" xfId="0" applyNumberFormat="1"/>
    <xf numFmtId="0" fontId="1" fillId="2" borderId="0" xfId="0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0" fontId="0" fillId="3" borderId="0" xfId="0" applyFill="1"/>
    <xf numFmtId="0" fontId="3" fillId="3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43" fontId="3" fillId="3" borderId="0" xfId="1" applyFont="1" applyFill="1"/>
    <xf numFmtId="43" fontId="0" fillId="0" borderId="0" xfId="1" applyFont="1"/>
    <xf numFmtId="10" fontId="3" fillId="3" borderId="0" xfId="2" applyNumberFormat="1" applyFont="1" applyFill="1" applyAlignment="1"/>
    <xf numFmtId="0" fontId="4" fillId="2" borderId="1" xfId="0" applyFont="1" applyFill="1" applyBorder="1" applyAlignment="1"/>
    <xf numFmtId="10" fontId="0" fillId="0" borderId="0" xfId="2" applyNumberFormat="1" applyFont="1" applyAlignment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43" fontId="3" fillId="0" borderId="3" xfId="1" applyFont="1" applyBorder="1"/>
    <xf numFmtId="10" fontId="3" fillId="0" borderId="4" xfId="2" applyNumberFormat="1" applyFont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"/>
  <sheetViews>
    <sheetView tabSelected="1" workbookViewId="0">
      <pane ySplit="3" topLeftCell="A4" activePane="bottomLeft" state="frozen"/>
      <selection pane="bottomLeft" activeCell="A3" sqref="A3"/>
    </sheetView>
  </sheetViews>
  <sheetFormatPr defaultRowHeight="14.4" x14ac:dyDescent="0.3"/>
  <cols>
    <col min="2" max="2" width="9.6640625" customWidth="1"/>
    <col min="3" max="3" width="26.6640625" customWidth="1"/>
    <col min="4" max="4" width="6.6640625" customWidth="1"/>
    <col min="5" max="5" width="4.6640625" customWidth="1"/>
    <col min="6" max="6" width="15.44140625" style="10" bestFit="1" customWidth="1"/>
    <col min="7" max="7" width="21.33203125" bestFit="1" customWidth="1"/>
    <col min="8" max="8" width="18.5546875" customWidth="1"/>
    <col min="9" max="9" width="16.6640625" customWidth="1"/>
  </cols>
  <sheetData>
    <row r="1" spans="1:9" s="7" customFormat="1" x14ac:dyDescent="0.3">
      <c r="A1" s="8" t="s">
        <v>339</v>
      </c>
      <c r="F1" s="9"/>
    </row>
    <row r="2" spans="1:9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1" t="s">
        <v>342</v>
      </c>
      <c r="G2" s="11" t="s">
        <v>346</v>
      </c>
      <c r="H2" s="11" t="s">
        <v>347</v>
      </c>
      <c r="I2" s="1" t="s">
        <v>4</v>
      </c>
    </row>
    <row r="3" spans="1:9" s="4" customFormat="1" x14ac:dyDescent="0.3">
      <c r="C3" s="4" t="s">
        <v>326</v>
      </c>
      <c r="G3" s="5">
        <f>SUM(G4:G139)</f>
        <v>2863.1100000000006</v>
      </c>
      <c r="H3" s="5">
        <f>SUM(H4:H139)</f>
        <v>2193.5599999999995</v>
      </c>
      <c r="I3" s="6">
        <f>(H3-G3)/G3</f>
        <v>-0.23385409572108684</v>
      </c>
    </row>
    <row r="4" spans="1:9" x14ac:dyDescent="0.3">
      <c r="B4" t="s">
        <v>5</v>
      </c>
      <c r="C4" t="s">
        <v>7</v>
      </c>
      <c r="D4" t="s">
        <v>8</v>
      </c>
      <c r="E4" t="s">
        <v>9</v>
      </c>
      <c r="F4" s="10">
        <v>100</v>
      </c>
      <c r="G4" s="2">
        <v>19.21</v>
      </c>
      <c r="H4" s="2">
        <v>13.84</v>
      </c>
      <c r="I4" s="3"/>
    </row>
    <row r="5" spans="1:9" x14ac:dyDescent="0.3">
      <c r="B5" t="s">
        <v>10</v>
      </c>
      <c r="C5" t="s">
        <v>11</v>
      </c>
      <c r="D5" t="s">
        <v>8</v>
      </c>
      <c r="E5" t="s">
        <v>9</v>
      </c>
      <c r="F5" s="10">
        <v>25</v>
      </c>
      <c r="G5" s="2">
        <v>20.25</v>
      </c>
      <c r="H5" s="2">
        <v>14.5</v>
      </c>
      <c r="I5" s="3"/>
    </row>
    <row r="6" spans="1:9" x14ac:dyDescent="0.3">
      <c r="B6" t="s">
        <v>12</v>
      </c>
      <c r="C6" t="s">
        <v>13</v>
      </c>
      <c r="D6" t="s">
        <v>8</v>
      </c>
      <c r="E6" t="s">
        <v>9</v>
      </c>
      <c r="F6" s="10">
        <v>10</v>
      </c>
      <c r="G6" s="2">
        <v>22.3</v>
      </c>
      <c r="H6" s="2">
        <v>16.100000000000001</v>
      </c>
      <c r="I6" s="3"/>
    </row>
    <row r="7" spans="1:9" x14ac:dyDescent="0.3">
      <c r="B7" t="s">
        <v>14</v>
      </c>
      <c r="C7" t="s">
        <v>15</v>
      </c>
      <c r="D7" t="s">
        <v>16</v>
      </c>
      <c r="E7" t="s">
        <v>9</v>
      </c>
      <c r="F7" s="10">
        <v>100</v>
      </c>
      <c r="G7" s="2">
        <v>10.6</v>
      </c>
      <c r="H7" s="2">
        <v>6.68</v>
      </c>
      <c r="I7" s="3"/>
    </row>
    <row r="8" spans="1:9" x14ac:dyDescent="0.3">
      <c r="B8" t="s">
        <v>17</v>
      </c>
      <c r="C8" t="s">
        <v>18</v>
      </c>
      <c r="D8" t="s">
        <v>16</v>
      </c>
      <c r="E8" t="s">
        <v>9</v>
      </c>
      <c r="F8" s="10">
        <v>100</v>
      </c>
      <c r="G8" s="2">
        <v>11.98</v>
      </c>
      <c r="H8" s="2">
        <v>7.56</v>
      </c>
      <c r="I8" s="3"/>
    </row>
    <row r="9" spans="1:9" x14ac:dyDescent="0.3">
      <c r="B9" t="s">
        <v>19</v>
      </c>
      <c r="C9" t="s">
        <v>20</v>
      </c>
      <c r="D9" t="s">
        <v>16</v>
      </c>
      <c r="E9" t="s">
        <v>9</v>
      </c>
      <c r="F9" s="10">
        <v>100</v>
      </c>
      <c r="G9" s="2">
        <v>13.41</v>
      </c>
      <c r="H9" s="2">
        <v>8.4499999999999993</v>
      </c>
      <c r="I9" s="3"/>
    </row>
    <row r="10" spans="1:9" x14ac:dyDescent="0.3">
      <c r="B10" t="s">
        <v>21</v>
      </c>
      <c r="C10" t="s">
        <v>22</v>
      </c>
      <c r="D10" t="s">
        <v>16</v>
      </c>
      <c r="E10" t="s">
        <v>9</v>
      </c>
      <c r="F10" s="10">
        <v>100</v>
      </c>
      <c r="G10" s="2">
        <v>16.04</v>
      </c>
      <c r="H10" s="2">
        <v>10.11</v>
      </c>
      <c r="I10" s="3"/>
    </row>
    <row r="11" spans="1:9" x14ac:dyDescent="0.3">
      <c r="B11" t="s">
        <v>23</v>
      </c>
      <c r="C11" t="s">
        <v>24</v>
      </c>
      <c r="D11" t="s">
        <v>16</v>
      </c>
      <c r="E11" t="s">
        <v>9</v>
      </c>
      <c r="F11" s="10">
        <v>200</v>
      </c>
      <c r="G11" s="2">
        <v>22.16</v>
      </c>
      <c r="H11" s="2">
        <v>14</v>
      </c>
      <c r="I11" s="3"/>
    </row>
    <row r="12" spans="1:9" x14ac:dyDescent="0.3">
      <c r="B12" t="s">
        <v>25</v>
      </c>
      <c r="C12" t="s">
        <v>26</v>
      </c>
      <c r="D12" t="s">
        <v>16</v>
      </c>
      <c r="E12" t="s">
        <v>9</v>
      </c>
      <c r="F12" s="10">
        <v>100</v>
      </c>
      <c r="G12" s="2">
        <v>15.95</v>
      </c>
      <c r="H12" s="2">
        <v>10.07</v>
      </c>
      <c r="I12" s="3"/>
    </row>
    <row r="13" spans="1:9" x14ac:dyDescent="0.3">
      <c r="B13" t="s">
        <v>27</v>
      </c>
      <c r="C13" t="s">
        <v>28</v>
      </c>
      <c r="D13" t="s">
        <v>16</v>
      </c>
      <c r="E13" t="s">
        <v>9</v>
      </c>
      <c r="F13" s="10">
        <v>100</v>
      </c>
      <c r="G13" s="2">
        <v>17.670000000000002</v>
      </c>
      <c r="H13" s="2">
        <v>11.15</v>
      </c>
      <c r="I13" s="3"/>
    </row>
    <row r="14" spans="1:9" x14ac:dyDescent="0.3">
      <c r="B14" t="s">
        <v>29</v>
      </c>
      <c r="C14" t="s">
        <v>30</v>
      </c>
      <c r="D14" t="s">
        <v>16</v>
      </c>
      <c r="E14" t="s">
        <v>9</v>
      </c>
      <c r="F14" s="10">
        <v>100</v>
      </c>
      <c r="G14" s="2">
        <v>30.78</v>
      </c>
      <c r="H14" s="2">
        <v>19.43</v>
      </c>
      <c r="I14" s="3"/>
    </row>
    <row r="15" spans="1:9" x14ac:dyDescent="0.3">
      <c r="B15" t="s">
        <v>31</v>
      </c>
      <c r="C15" t="s">
        <v>32</v>
      </c>
      <c r="D15" t="s">
        <v>16</v>
      </c>
      <c r="E15" t="s">
        <v>9</v>
      </c>
      <c r="F15" s="10">
        <v>50</v>
      </c>
      <c r="G15" s="2">
        <v>17.79</v>
      </c>
      <c r="H15" s="2">
        <v>11.22</v>
      </c>
      <c r="I15" s="3"/>
    </row>
    <row r="16" spans="1:9" x14ac:dyDescent="0.3">
      <c r="B16" t="s">
        <v>33</v>
      </c>
      <c r="C16" t="s">
        <v>34</v>
      </c>
      <c r="D16" t="s">
        <v>16</v>
      </c>
      <c r="E16" t="s">
        <v>9</v>
      </c>
      <c r="F16" s="10">
        <v>50</v>
      </c>
      <c r="G16" s="2">
        <v>19.87</v>
      </c>
      <c r="H16" s="2">
        <v>12.54</v>
      </c>
      <c r="I16" s="3"/>
    </row>
    <row r="17" spans="2:9" x14ac:dyDescent="0.3">
      <c r="B17" t="s">
        <v>35</v>
      </c>
      <c r="C17" t="s">
        <v>36</v>
      </c>
      <c r="D17" t="s">
        <v>16</v>
      </c>
      <c r="E17" t="s">
        <v>9</v>
      </c>
      <c r="F17" s="10">
        <v>50</v>
      </c>
      <c r="G17" s="2">
        <v>35</v>
      </c>
      <c r="H17" s="2">
        <v>21.65</v>
      </c>
      <c r="I17" s="3"/>
    </row>
    <row r="18" spans="2:9" x14ac:dyDescent="0.3">
      <c r="B18" t="s">
        <v>37</v>
      </c>
      <c r="C18" t="s">
        <v>38</v>
      </c>
      <c r="D18" t="s">
        <v>16</v>
      </c>
      <c r="E18" t="s">
        <v>9</v>
      </c>
      <c r="F18" s="10">
        <v>50</v>
      </c>
      <c r="G18" s="2">
        <v>35.5</v>
      </c>
      <c r="H18" s="2">
        <v>22.3</v>
      </c>
      <c r="I18" s="3"/>
    </row>
    <row r="19" spans="2:9" x14ac:dyDescent="0.3">
      <c r="B19" t="s">
        <v>39</v>
      </c>
      <c r="C19" t="s">
        <v>40</v>
      </c>
      <c r="D19" t="s">
        <v>16</v>
      </c>
      <c r="E19" t="s">
        <v>9</v>
      </c>
      <c r="F19" s="10">
        <v>50</v>
      </c>
      <c r="G19" s="2">
        <v>125</v>
      </c>
      <c r="H19" s="2">
        <v>83</v>
      </c>
      <c r="I19" s="3"/>
    </row>
    <row r="20" spans="2:9" x14ac:dyDescent="0.3">
      <c r="B20" t="s">
        <v>41</v>
      </c>
      <c r="C20" t="s">
        <v>42</v>
      </c>
      <c r="D20" t="s">
        <v>16</v>
      </c>
      <c r="E20" t="s">
        <v>9</v>
      </c>
      <c r="F20" s="10">
        <v>100</v>
      </c>
      <c r="G20" s="2">
        <v>23.83</v>
      </c>
      <c r="H20" s="2">
        <v>15.05</v>
      </c>
      <c r="I20" s="3"/>
    </row>
    <row r="21" spans="2:9" x14ac:dyDescent="0.3">
      <c r="B21" t="s">
        <v>43</v>
      </c>
      <c r="C21" t="s">
        <v>44</v>
      </c>
      <c r="D21" t="s">
        <v>16</v>
      </c>
      <c r="E21" t="s">
        <v>9</v>
      </c>
      <c r="F21" s="10">
        <v>100</v>
      </c>
      <c r="G21" s="2">
        <v>26.01</v>
      </c>
      <c r="H21" s="2">
        <v>16.399999999999999</v>
      </c>
      <c r="I21" s="3"/>
    </row>
    <row r="22" spans="2:9" x14ac:dyDescent="0.3">
      <c r="B22" t="s">
        <v>45</v>
      </c>
      <c r="C22" t="s">
        <v>46</v>
      </c>
      <c r="D22" t="s">
        <v>16</v>
      </c>
      <c r="E22" t="s">
        <v>9</v>
      </c>
      <c r="F22" s="10">
        <v>25</v>
      </c>
      <c r="G22" s="2">
        <v>15.5</v>
      </c>
      <c r="H22" s="2">
        <v>10.02</v>
      </c>
      <c r="I22" s="3"/>
    </row>
    <row r="23" spans="2:9" x14ac:dyDescent="0.3">
      <c r="B23" t="s">
        <v>47</v>
      </c>
      <c r="C23" t="s">
        <v>48</v>
      </c>
      <c r="D23" t="s">
        <v>16</v>
      </c>
      <c r="E23" t="s">
        <v>9</v>
      </c>
      <c r="F23" s="10">
        <v>25</v>
      </c>
      <c r="G23" s="2">
        <v>22</v>
      </c>
      <c r="H23" s="2">
        <v>14</v>
      </c>
      <c r="I23" s="3"/>
    </row>
    <row r="24" spans="2:9" x14ac:dyDescent="0.3">
      <c r="B24" t="s">
        <v>49</v>
      </c>
      <c r="C24" t="s">
        <v>50</v>
      </c>
      <c r="D24" t="s">
        <v>16</v>
      </c>
      <c r="E24" t="s">
        <v>9</v>
      </c>
      <c r="F24" s="10">
        <v>50</v>
      </c>
      <c r="G24" s="2">
        <v>58</v>
      </c>
      <c r="H24" s="2">
        <v>36</v>
      </c>
      <c r="I24" s="3"/>
    </row>
    <row r="25" spans="2:9" x14ac:dyDescent="0.3">
      <c r="B25" t="s">
        <v>51</v>
      </c>
      <c r="C25" t="s">
        <v>52</v>
      </c>
      <c r="D25" t="s">
        <v>16</v>
      </c>
      <c r="E25" t="s">
        <v>9</v>
      </c>
      <c r="F25" s="10">
        <v>25</v>
      </c>
      <c r="G25" s="2">
        <v>32</v>
      </c>
      <c r="H25" s="2">
        <v>19.75</v>
      </c>
      <c r="I25" s="3"/>
    </row>
    <row r="26" spans="2:9" x14ac:dyDescent="0.3">
      <c r="B26" t="s">
        <v>53</v>
      </c>
      <c r="C26" t="s">
        <v>54</v>
      </c>
      <c r="D26" t="s">
        <v>55</v>
      </c>
      <c r="E26" t="s">
        <v>56</v>
      </c>
      <c r="F26" s="10">
        <v>100</v>
      </c>
      <c r="G26" s="2">
        <v>11.59</v>
      </c>
      <c r="H26" s="2">
        <v>14.64</v>
      </c>
      <c r="I26" s="3"/>
    </row>
    <row r="27" spans="2:9" x14ac:dyDescent="0.3">
      <c r="B27" t="s">
        <v>57</v>
      </c>
      <c r="C27" t="s">
        <v>58</v>
      </c>
      <c r="D27" t="s">
        <v>59</v>
      </c>
      <c r="E27" t="s">
        <v>56</v>
      </c>
      <c r="F27" s="10">
        <v>100</v>
      </c>
      <c r="G27" s="2">
        <v>22.91</v>
      </c>
      <c r="H27" s="2">
        <v>26.75</v>
      </c>
      <c r="I27" s="3"/>
    </row>
    <row r="28" spans="2:9" x14ac:dyDescent="0.3">
      <c r="B28" t="s">
        <v>60</v>
      </c>
      <c r="C28" t="s">
        <v>61</v>
      </c>
      <c r="D28" t="s">
        <v>62</v>
      </c>
      <c r="E28" t="s">
        <v>56</v>
      </c>
      <c r="F28" s="10">
        <v>100</v>
      </c>
      <c r="G28" s="2">
        <v>2</v>
      </c>
      <c r="H28" s="2">
        <v>1.75</v>
      </c>
      <c r="I28" s="3"/>
    </row>
    <row r="29" spans="2:9" x14ac:dyDescent="0.3">
      <c r="B29" t="s">
        <v>63</v>
      </c>
      <c r="C29" t="s">
        <v>64</v>
      </c>
      <c r="D29" t="s">
        <v>62</v>
      </c>
      <c r="E29" t="s">
        <v>56</v>
      </c>
      <c r="F29" s="10">
        <v>100</v>
      </c>
      <c r="G29" s="2">
        <v>2.83</v>
      </c>
      <c r="H29" s="2">
        <v>2.95</v>
      </c>
      <c r="I29" s="3"/>
    </row>
    <row r="30" spans="2:9" x14ac:dyDescent="0.3">
      <c r="B30" t="s">
        <v>65</v>
      </c>
      <c r="C30" t="s">
        <v>66</v>
      </c>
      <c r="D30" t="s">
        <v>67</v>
      </c>
      <c r="E30" t="s">
        <v>9</v>
      </c>
      <c r="F30" s="10">
        <v>200</v>
      </c>
      <c r="G30" s="2">
        <v>4.96</v>
      </c>
      <c r="H30" s="2">
        <v>4.3600000000000003</v>
      </c>
      <c r="I30" s="3"/>
    </row>
    <row r="31" spans="2:9" x14ac:dyDescent="0.3">
      <c r="B31" t="s">
        <v>68</v>
      </c>
      <c r="C31" t="s">
        <v>69</v>
      </c>
      <c r="D31" t="s">
        <v>67</v>
      </c>
      <c r="E31" t="s">
        <v>9</v>
      </c>
      <c r="F31" s="10">
        <v>100</v>
      </c>
      <c r="G31" s="2">
        <v>5.2</v>
      </c>
      <c r="H31" s="2">
        <v>4.59</v>
      </c>
      <c r="I31" s="3"/>
    </row>
    <row r="32" spans="2:9" x14ac:dyDescent="0.3">
      <c r="B32" t="s">
        <v>70</v>
      </c>
      <c r="C32" t="s">
        <v>71</v>
      </c>
      <c r="D32" t="s">
        <v>72</v>
      </c>
      <c r="E32" t="s">
        <v>56</v>
      </c>
      <c r="F32" s="10">
        <v>100</v>
      </c>
      <c r="G32" s="2">
        <v>5.36</v>
      </c>
      <c r="H32" s="2">
        <v>5.27</v>
      </c>
      <c r="I32" s="3"/>
    </row>
    <row r="33" spans="2:9" x14ac:dyDescent="0.3">
      <c r="B33" t="s">
        <v>73</v>
      </c>
      <c r="C33" t="s">
        <v>74</v>
      </c>
      <c r="D33" t="s">
        <v>72</v>
      </c>
      <c r="E33" t="s">
        <v>56</v>
      </c>
      <c r="F33" s="10">
        <v>100</v>
      </c>
      <c r="G33" s="2">
        <v>7.65</v>
      </c>
      <c r="H33" s="2">
        <v>7.54</v>
      </c>
      <c r="I33" s="3"/>
    </row>
    <row r="34" spans="2:9" x14ac:dyDescent="0.3">
      <c r="B34" t="s">
        <v>75</v>
      </c>
      <c r="C34" t="s">
        <v>76</v>
      </c>
      <c r="D34" t="s">
        <v>72</v>
      </c>
      <c r="E34" t="s">
        <v>56</v>
      </c>
      <c r="F34" s="10">
        <v>50</v>
      </c>
      <c r="G34" s="2">
        <v>10.93</v>
      </c>
      <c r="H34" s="2">
        <v>10.78</v>
      </c>
      <c r="I34" s="3"/>
    </row>
    <row r="35" spans="2:9" x14ac:dyDescent="0.3">
      <c r="B35" t="s">
        <v>77</v>
      </c>
      <c r="C35" t="s">
        <v>78</v>
      </c>
      <c r="D35" t="s">
        <v>72</v>
      </c>
      <c r="E35" t="s">
        <v>56</v>
      </c>
      <c r="F35" s="10">
        <v>50</v>
      </c>
      <c r="G35" s="2">
        <v>21.35</v>
      </c>
      <c r="H35" s="2">
        <v>20.97</v>
      </c>
      <c r="I35" s="3"/>
    </row>
    <row r="36" spans="2:9" x14ac:dyDescent="0.3">
      <c r="B36" t="s">
        <v>79</v>
      </c>
      <c r="C36" t="s">
        <v>80</v>
      </c>
      <c r="D36" t="s">
        <v>72</v>
      </c>
      <c r="E36" t="s">
        <v>56</v>
      </c>
      <c r="F36" s="10">
        <v>100</v>
      </c>
      <c r="G36" s="2">
        <v>4.96</v>
      </c>
      <c r="H36" s="2">
        <v>4.8899999999999997</v>
      </c>
      <c r="I36" s="3"/>
    </row>
    <row r="37" spans="2:9" x14ac:dyDescent="0.3">
      <c r="B37" t="s">
        <v>81</v>
      </c>
      <c r="C37" t="s">
        <v>82</v>
      </c>
      <c r="D37" t="s">
        <v>72</v>
      </c>
      <c r="E37" t="s">
        <v>56</v>
      </c>
      <c r="F37" s="10">
        <v>100</v>
      </c>
      <c r="G37" s="2">
        <v>8.83</v>
      </c>
      <c r="H37" s="2">
        <v>8.6999999999999993</v>
      </c>
      <c r="I37" s="3"/>
    </row>
    <row r="38" spans="2:9" x14ac:dyDescent="0.3">
      <c r="B38" t="s">
        <v>83</v>
      </c>
      <c r="C38" t="s">
        <v>84</v>
      </c>
      <c r="D38" t="s">
        <v>72</v>
      </c>
      <c r="E38" t="s">
        <v>56</v>
      </c>
      <c r="F38" s="10">
        <v>200</v>
      </c>
      <c r="G38" s="2">
        <v>18.3</v>
      </c>
      <c r="H38" s="2">
        <v>18.059999999999999</v>
      </c>
      <c r="I38" s="3"/>
    </row>
    <row r="39" spans="2:9" x14ac:dyDescent="0.3">
      <c r="B39" t="s">
        <v>85</v>
      </c>
      <c r="C39" t="s">
        <v>86</v>
      </c>
      <c r="D39" t="s">
        <v>72</v>
      </c>
      <c r="E39" t="s">
        <v>56</v>
      </c>
      <c r="F39" s="10">
        <v>50</v>
      </c>
      <c r="G39" s="2">
        <v>11.2</v>
      </c>
      <c r="H39" s="2">
        <v>11.04</v>
      </c>
      <c r="I39" s="3"/>
    </row>
    <row r="40" spans="2:9" x14ac:dyDescent="0.3">
      <c r="B40" t="s">
        <v>87</v>
      </c>
      <c r="C40" t="s">
        <v>88</v>
      </c>
      <c r="D40" t="s">
        <v>72</v>
      </c>
      <c r="E40" t="s">
        <v>56</v>
      </c>
      <c r="F40" s="10">
        <v>50</v>
      </c>
      <c r="G40" s="2">
        <v>23.1</v>
      </c>
      <c r="H40" s="2">
        <v>22.99</v>
      </c>
      <c r="I40" s="3"/>
    </row>
    <row r="41" spans="2:9" x14ac:dyDescent="0.3">
      <c r="B41" t="s">
        <v>89</v>
      </c>
      <c r="C41" t="s">
        <v>90</v>
      </c>
      <c r="D41" t="s">
        <v>91</v>
      </c>
      <c r="E41" t="s">
        <v>56</v>
      </c>
      <c r="F41" s="10">
        <v>100</v>
      </c>
      <c r="G41" s="2">
        <v>5.88</v>
      </c>
      <c r="H41" s="2">
        <v>3.54</v>
      </c>
      <c r="I41" s="3"/>
    </row>
    <row r="42" spans="2:9" x14ac:dyDescent="0.3">
      <c r="B42" t="s">
        <v>92</v>
      </c>
      <c r="C42" t="s">
        <v>93</v>
      </c>
      <c r="D42" t="s">
        <v>91</v>
      </c>
      <c r="E42" t="s">
        <v>56</v>
      </c>
      <c r="F42" s="10">
        <v>100</v>
      </c>
      <c r="G42" s="2">
        <v>11.28</v>
      </c>
      <c r="H42" s="2">
        <v>7.47</v>
      </c>
      <c r="I42" s="3"/>
    </row>
    <row r="43" spans="2:9" x14ac:dyDescent="0.3">
      <c r="B43" t="s">
        <v>94</v>
      </c>
      <c r="C43" t="s">
        <v>95</v>
      </c>
      <c r="D43" t="s">
        <v>91</v>
      </c>
      <c r="E43" t="s">
        <v>56</v>
      </c>
      <c r="F43" s="10">
        <v>50</v>
      </c>
      <c r="G43" s="2">
        <v>10.38</v>
      </c>
      <c r="H43" s="2">
        <v>6.87</v>
      </c>
      <c r="I43" s="3"/>
    </row>
    <row r="44" spans="2:9" x14ac:dyDescent="0.3">
      <c r="B44" t="s">
        <v>96</v>
      </c>
      <c r="C44" t="s">
        <v>97</v>
      </c>
      <c r="D44" t="s">
        <v>98</v>
      </c>
      <c r="E44" t="s">
        <v>56</v>
      </c>
      <c r="F44" s="10">
        <v>200</v>
      </c>
      <c r="G44" s="2">
        <v>18.62</v>
      </c>
      <c r="H44" s="2">
        <v>6.08</v>
      </c>
      <c r="I44" s="3"/>
    </row>
    <row r="45" spans="2:9" x14ac:dyDescent="0.3">
      <c r="B45" t="s">
        <v>99</v>
      </c>
      <c r="C45" t="s">
        <v>100</v>
      </c>
      <c r="D45" t="s">
        <v>101</v>
      </c>
      <c r="E45" t="s">
        <v>9</v>
      </c>
      <c r="F45" s="10">
        <v>200</v>
      </c>
      <c r="G45" s="2">
        <v>5.86</v>
      </c>
      <c r="H45" s="2">
        <v>11</v>
      </c>
      <c r="I45" s="3"/>
    </row>
    <row r="46" spans="2:9" x14ac:dyDescent="0.3">
      <c r="B46" t="s">
        <v>102</v>
      </c>
      <c r="C46" t="s">
        <v>103</v>
      </c>
      <c r="D46" t="s">
        <v>101</v>
      </c>
      <c r="E46" t="s">
        <v>9</v>
      </c>
      <c r="F46" s="10">
        <v>100</v>
      </c>
      <c r="G46" s="2">
        <v>4.07</v>
      </c>
      <c r="H46" s="2">
        <v>9.09</v>
      </c>
      <c r="I46" s="3"/>
    </row>
    <row r="47" spans="2:9" x14ac:dyDescent="0.3">
      <c r="B47" t="s">
        <v>104</v>
      </c>
      <c r="C47" t="s">
        <v>105</v>
      </c>
      <c r="D47" t="s">
        <v>101</v>
      </c>
      <c r="E47" t="s">
        <v>9</v>
      </c>
      <c r="F47" s="10">
        <v>200</v>
      </c>
      <c r="G47" s="2">
        <v>10.32</v>
      </c>
      <c r="H47" s="2">
        <v>19.36</v>
      </c>
      <c r="I47" s="3"/>
    </row>
    <row r="48" spans="2:9" x14ac:dyDescent="0.3">
      <c r="B48" t="s">
        <v>106</v>
      </c>
      <c r="C48" t="s">
        <v>107</v>
      </c>
      <c r="D48" t="s">
        <v>101</v>
      </c>
      <c r="E48" t="s">
        <v>9</v>
      </c>
      <c r="F48" s="10">
        <v>50</v>
      </c>
      <c r="G48" s="2">
        <v>2.74</v>
      </c>
      <c r="H48" s="2">
        <v>5.15</v>
      </c>
      <c r="I48" s="3"/>
    </row>
    <row r="49" spans="2:9" x14ac:dyDescent="0.3">
      <c r="B49" t="s">
        <v>108</v>
      </c>
      <c r="C49" t="s">
        <v>109</v>
      </c>
      <c r="D49" t="s">
        <v>110</v>
      </c>
      <c r="E49" t="s">
        <v>111</v>
      </c>
      <c r="F49" s="10">
        <v>50</v>
      </c>
      <c r="G49" s="2">
        <v>7.2</v>
      </c>
      <c r="H49" s="2">
        <v>4.68</v>
      </c>
      <c r="I49" s="3"/>
    </row>
    <row r="50" spans="2:9" x14ac:dyDescent="0.3">
      <c r="B50" t="s">
        <v>112</v>
      </c>
      <c r="C50" t="s">
        <v>113</v>
      </c>
      <c r="D50" t="s">
        <v>114</v>
      </c>
      <c r="E50" t="s">
        <v>115</v>
      </c>
      <c r="F50" s="10">
        <v>10</v>
      </c>
      <c r="G50" s="2">
        <v>9.6</v>
      </c>
      <c r="H50" s="2">
        <v>7.1</v>
      </c>
      <c r="I50" s="3"/>
    </row>
    <row r="51" spans="2:9" x14ac:dyDescent="0.3">
      <c r="B51" t="s">
        <v>116</v>
      </c>
      <c r="C51" t="s">
        <v>117</v>
      </c>
      <c r="D51" t="s">
        <v>114</v>
      </c>
      <c r="E51" t="s">
        <v>115</v>
      </c>
      <c r="F51" s="10">
        <v>10</v>
      </c>
      <c r="G51" s="2">
        <v>7</v>
      </c>
      <c r="H51" s="2">
        <v>5.0999999999999996</v>
      </c>
      <c r="I51" s="3"/>
    </row>
    <row r="52" spans="2:9" x14ac:dyDescent="0.3">
      <c r="B52" t="s">
        <v>118</v>
      </c>
      <c r="C52" t="s">
        <v>119</v>
      </c>
      <c r="D52" t="s">
        <v>6</v>
      </c>
      <c r="E52" t="s">
        <v>115</v>
      </c>
      <c r="F52" s="10">
        <v>100</v>
      </c>
      <c r="G52" s="2">
        <v>9.8699999999999992</v>
      </c>
      <c r="H52" s="2">
        <v>11.28</v>
      </c>
      <c r="I52" s="3"/>
    </row>
    <row r="53" spans="2:9" x14ac:dyDescent="0.3">
      <c r="B53" t="s">
        <v>120</v>
      </c>
      <c r="C53" t="s">
        <v>121</v>
      </c>
      <c r="D53" t="s">
        <v>6</v>
      </c>
      <c r="E53" t="s">
        <v>115</v>
      </c>
      <c r="F53" s="10">
        <v>100</v>
      </c>
      <c r="G53" s="2">
        <v>9.8699999999999992</v>
      </c>
      <c r="H53" s="2">
        <v>11.28</v>
      </c>
      <c r="I53" s="3"/>
    </row>
    <row r="54" spans="2:9" x14ac:dyDescent="0.3">
      <c r="B54" t="s">
        <v>122</v>
      </c>
      <c r="C54" t="s">
        <v>123</v>
      </c>
      <c r="D54" t="s">
        <v>6</v>
      </c>
      <c r="E54" t="s">
        <v>115</v>
      </c>
      <c r="F54" s="10">
        <v>100</v>
      </c>
      <c r="G54" s="2">
        <v>9.8699999999999992</v>
      </c>
      <c r="H54" s="2">
        <v>11.28</v>
      </c>
      <c r="I54" s="3"/>
    </row>
    <row r="55" spans="2:9" x14ac:dyDescent="0.3">
      <c r="B55" t="s">
        <v>124</v>
      </c>
      <c r="C55" t="s">
        <v>125</v>
      </c>
      <c r="D55" t="s">
        <v>6</v>
      </c>
      <c r="E55" t="s">
        <v>115</v>
      </c>
      <c r="F55" s="10">
        <v>100</v>
      </c>
      <c r="G55" s="2">
        <v>9.8699999999999992</v>
      </c>
      <c r="H55" s="2">
        <v>11.28</v>
      </c>
      <c r="I55" s="3"/>
    </row>
    <row r="56" spans="2:9" x14ac:dyDescent="0.3">
      <c r="B56" t="s">
        <v>126</v>
      </c>
      <c r="C56" t="s">
        <v>127</v>
      </c>
      <c r="D56" t="s">
        <v>6</v>
      </c>
      <c r="E56" t="s">
        <v>115</v>
      </c>
      <c r="F56" s="10">
        <v>100</v>
      </c>
      <c r="G56" s="2">
        <v>9.8699999999999992</v>
      </c>
      <c r="H56" s="2">
        <v>11.28</v>
      </c>
      <c r="I56" s="3"/>
    </row>
    <row r="57" spans="2:9" x14ac:dyDescent="0.3">
      <c r="B57" t="s">
        <v>128</v>
      </c>
      <c r="C57" t="s">
        <v>129</v>
      </c>
      <c r="D57" t="s">
        <v>6</v>
      </c>
      <c r="E57" t="s">
        <v>115</v>
      </c>
      <c r="F57" s="10">
        <v>100</v>
      </c>
      <c r="G57" s="2">
        <v>9.8699999999999992</v>
      </c>
      <c r="H57" s="2">
        <v>11.28</v>
      </c>
      <c r="I57" s="3"/>
    </row>
    <row r="58" spans="2:9" x14ac:dyDescent="0.3">
      <c r="B58" t="s">
        <v>130</v>
      </c>
      <c r="C58" t="s">
        <v>131</v>
      </c>
      <c r="D58" t="s">
        <v>6</v>
      </c>
      <c r="E58" t="s">
        <v>115</v>
      </c>
      <c r="F58" s="10">
        <v>100</v>
      </c>
      <c r="G58" s="2">
        <v>9.8699999999999992</v>
      </c>
      <c r="H58" s="2">
        <v>11.28</v>
      </c>
      <c r="I58" s="3"/>
    </row>
    <row r="59" spans="2:9" x14ac:dyDescent="0.3">
      <c r="B59" t="s">
        <v>132</v>
      </c>
      <c r="C59" t="s">
        <v>133</v>
      </c>
      <c r="D59" t="s">
        <v>134</v>
      </c>
      <c r="E59" t="s">
        <v>115</v>
      </c>
      <c r="F59" s="10">
        <v>50</v>
      </c>
      <c r="G59" s="2">
        <v>31.5</v>
      </c>
      <c r="H59" s="2">
        <v>28.5</v>
      </c>
      <c r="I59" s="3"/>
    </row>
    <row r="60" spans="2:9" x14ac:dyDescent="0.3">
      <c r="B60" t="s">
        <v>135</v>
      </c>
      <c r="C60" t="s">
        <v>136</v>
      </c>
      <c r="D60" t="s">
        <v>134</v>
      </c>
      <c r="E60" t="s">
        <v>115</v>
      </c>
      <c r="F60" s="10">
        <v>100</v>
      </c>
      <c r="G60" s="2">
        <v>113</v>
      </c>
      <c r="H60" s="2">
        <v>101</v>
      </c>
      <c r="I60" s="3"/>
    </row>
    <row r="61" spans="2:9" x14ac:dyDescent="0.3">
      <c r="B61" t="s">
        <v>137</v>
      </c>
      <c r="C61" t="s">
        <v>138</v>
      </c>
      <c r="D61" t="s">
        <v>134</v>
      </c>
      <c r="E61" t="s">
        <v>115</v>
      </c>
      <c r="F61" s="10">
        <v>100</v>
      </c>
      <c r="G61" s="2">
        <v>34.979999999999997</v>
      </c>
      <c r="H61" s="2">
        <v>21.48</v>
      </c>
      <c r="I61" s="3"/>
    </row>
    <row r="62" spans="2:9" x14ac:dyDescent="0.3">
      <c r="B62" t="s">
        <v>139</v>
      </c>
      <c r="C62" t="s">
        <v>140</v>
      </c>
      <c r="D62" t="s">
        <v>134</v>
      </c>
      <c r="E62" t="s">
        <v>115</v>
      </c>
      <c r="F62" s="10">
        <v>50</v>
      </c>
      <c r="G62" s="2">
        <v>16.41</v>
      </c>
      <c r="H62" s="2">
        <v>10.08</v>
      </c>
      <c r="I62" s="3"/>
    </row>
    <row r="63" spans="2:9" x14ac:dyDescent="0.3">
      <c r="B63" t="s">
        <v>141</v>
      </c>
      <c r="C63" t="s">
        <v>142</v>
      </c>
      <c r="D63" t="s">
        <v>134</v>
      </c>
      <c r="E63" t="s">
        <v>115</v>
      </c>
      <c r="F63" s="10">
        <v>100</v>
      </c>
      <c r="G63" s="2">
        <v>118</v>
      </c>
      <c r="H63" s="2">
        <v>74</v>
      </c>
      <c r="I63" s="3"/>
    </row>
    <row r="64" spans="2:9" x14ac:dyDescent="0.3">
      <c r="B64" t="s">
        <v>143</v>
      </c>
      <c r="C64" t="s">
        <v>144</v>
      </c>
      <c r="D64" t="s">
        <v>134</v>
      </c>
      <c r="E64" t="s">
        <v>115</v>
      </c>
      <c r="F64" s="10">
        <v>50</v>
      </c>
      <c r="G64" s="2">
        <v>45</v>
      </c>
      <c r="H64" s="2">
        <v>28</v>
      </c>
      <c r="I64" s="3"/>
    </row>
    <row r="65" spans="2:9" x14ac:dyDescent="0.3">
      <c r="B65" t="s">
        <v>145</v>
      </c>
      <c r="C65" t="s">
        <v>144</v>
      </c>
      <c r="D65" t="s">
        <v>134</v>
      </c>
      <c r="E65" t="s">
        <v>115</v>
      </c>
      <c r="F65" s="10">
        <v>50</v>
      </c>
      <c r="G65" s="2">
        <v>44</v>
      </c>
      <c r="H65" s="2">
        <v>26.5</v>
      </c>
      <c r="I65" s="3"/>
    </row>
    <row r="66" spans="2:9" x14ac:dyDescent="0.3">
      <c r="B66" t="s">
        <v>146</v>
      </c>
      <c r="C66" t="s">
        <v>147</v>
      </c>
      <c r="D66" t="s">
        <v>148</v>
      </c>
      <c r="E66" t="s">
        <v>115</v>
      </c>
      <c r="F66" s="10">
        <v>100</v>
      </c>
      <c r="G66" s="2">
        <v>20.21</v>
      </c>
      <c r="H66" s="2">
        <v>9.07</v>
      </c>
      <c r="I66" s="3"/>
    </row>
    <row r="67" spans="2:9" x14ac:dyDescent="0.3">
      <c r="B67" t="s">
        <v>149</v>
      </c>
      <c r="C67" t="s">
        <v>150</v>
      </c>
      <c r="D67" t="s">
        <v>148</v>
      </c>
      <c r="E67" t="s">
        <v>115</v>
      </c>
      <c r="F67" s="10">
        <v>50</v>
      </c>
      <c r="G67" s="2">
        <v>6.11</v>
      </c>
      <c r="H67" s="2">
        <v>31.5</v>
      </c>
      <c r="I67" s="3"/>
    </row>
    <row r="68" spans="2:9" x14ac:dyDescent="0.3">
      <c r="B68" t="s">
        <v>151</v>
      </c>
      <c r="C68" t="s">
        <v>152</v>
      </c>
      <c r="D68" t="s">
        <v>153</v>
      </c>
      <c r="E68" t="s">
        <v>115</v>
      </c>
      <c r="F68" s="10">
        <v>500</v>
      </c>
      <c r="G68" s="2">
        <v>47.5</v>
      </c>
      <c r="H68" s="2">
        <v>23.8</v>
      </c>
      <c r="I68" s="3"/>
    </row>
    <row r="69" spans="2:9" x14ac:dyDescent="0.3">
      <c r="B69" t="s">
        <v>154</v>
      </c>
      <c r="C69" t="s">
        <v>155</v>
      </c>
      <c r="D69" t="s">
        <v>153</v>
      </c>
      <c r="E69" t="s">
        <v>115</v>
      </c>
      <c r="F69" s="10">
        <v>100</v>
      </c>
      <c r="G69" s="2">
        <v>19.32</v>
      </c>
      <c r="H69" s="2">
        <v>9.6999999999999993</v>
      </c>
      <c r="I69" s="3"/>
    </row>
    <row r="70" spans="2:9" x14ac:dyDescent="0.3">
      <c r="B70" t="s">
        <v>156</v>
      </c>
      <c r="C70" t="s">
        <v>157</v>
      </c>
      <c r="D70" t="s">
        <v>153</v>
      </c>
      <c r="E70" t="s">
        <v>115</v>
      </c>
      <c r="F70" s="10">
        <v>400</v>
      </c>
      <c r="G70" s="2">
        <v>6.36</v>
      </c>
      <c r="H70" s="2">
        <v>5.64</v>
      </c>
      <c r="I70" s="3"/>
    </row>
    <row r="71" spans="2:9" x14ac:dyDescent="0.3">
      <c r="B71" t="s">
        <v>158</v>
      </c>
      <c r="C71" t="s">
        <v>159</v>
      </c>
      <c r="D71" t="s">
        <v>153</v>
      </c>
      <c r="E71" t="s">
        <v>115</v>
      </c>
      <c r="F71" s="10">
        <v>200</v>
      </c>
      <c r="G71" s="2">
        <v>23.54</v>
      </c>
      <c r="H71" s="2">
        <v>10.42</v>
      </c>
      <c r="I71" s="3"/>
    </row>
    <row r="72" spans="2:9" x14ac:dyDescent="0.3">
      <c r="B72" t="s">
        <v>160</v>
      </c>
      <c r="C72" t="s">
        <v>161</v>
      </c>
      <c r="D72" t="s">
        <v>153</v>
      </c>
      <c r="E72" t="s">
        <v>115</v>
      </c>
      <c r="F72" s="10">
        <v>300</v>
      </c>
      <c r="G72" s="2">
        <v>16.559999999999999</v>
      </c>
      <c r="H72" s="2">
        <v>9.69</v>
      </c>
      <c r="I72" s="3"/>
    </row>
    <row r="73" spans="2:9" x14ac:dyDescent="0.3">
      <c r="B73" t="s">
        <v>162</v>
      </c>
      <c r="C73" t="s">
        <v>163</v>
      </c>
      <c r="D73" t="s">
        <v>153</v>
      </c>
      <c r="E73" t="s">
        <v>115</v>
      </c>
      <c r="F73" s="10">
        <v>25</v>
      </c>
      <c r="G73" s="2">
        <v>11.2</v>
      </c>
      <c r="H73" s="2">
        <v>5.76</v>
      </c>
      <c r="I73" s="3"/>
    </row>
    <row r="74" spans="2:9" x14ac:dyDescent="0.3">
      <c r="B74" t="s">
        <v>164</v>
      </c>
      <c r="C74" t="s">
        <v>165</v>
      </c>
      <c r="D74" t="s">
        <v>166</v>
      </c>
      <c r="E74" t="s">
        <v>115</v>
      </c>
      <c r="F74" s="10">
        <v>10</v>
      </c>
      <c r="G74" s="2">
        <v>2.12</v>
      </c>
      <c r="H74" s="2">
        <v>1.85</v>
      </c>
      <c r="I74" s="3"/>
    </row>
    <row r="75" spans="2:9" x14ac:dyDescent="0.3">
      <c r="B75" t="s">
        <v>167</v>
      </c>
      <c r="C75" t="s">
        <v>168</v>
      </c>
      <c r="D75" t="s">
        <v>166</v>
      </c>
      <c r="E75" t="s">
        <v>115</v>
      </c>
      <c r="F75" s="10">
        <v>2</v>
      </c>
      <c r="G75" s="2">
        <v>4</v>
      </c>
      <c r="H75" s="2">
        <v>3.98</v>
      </c>
      <c r="I75" s="3"/>
    </row>
    <row r="76" spans="2:9" x14ac:dyDescent="0.3">
      <c r="B76" t="s">
        <v>169</v>
      </c>
      <c r="C76" t="s">
        <v>170</v>
      </c>
      <c r="D76" t="s">
        <v>166</v>
      </c>
      <c r="E76" t="s">
        <v>115</v>
      </c>
      <c r="F76" s="10">
        <v>2</v>
      </c>
      <c r="G76" s="2">
        <v>5.5</v>
      </c>
      <c r="H76" s="2">
        <v>5.44</v>
      </c>
      <c r="I76" s="3"/>
    </row>
    <row r="77" spans="2:9" x14ac:dyDescent="0.3">
      <c r="B77" t="s">
        <v>171</v>
      </c>
      <c r="C77" t="s">
        <v>172</v>
      </c>
      <c r="D77" t="s">
        <v>166</v>
      </c>
      <c r="E77" t="s">
        <v>115</v>
      </c>
      <c r="F77" s="10">
        <v>2</v>
      </c>
      <c r="G77" s="2">
        <v>6.78</v>
      </c>
      <c r="H77" s="2">
        <v>6.7</v>
      </c>
      <c r="I77" s="3"/>
    </row>
    <row r="78" spans="2:9" x14ac:dyDescent="0.3">
      <c r="B78" t="s">
        <v>173</v>
      </c>
      <c r="C78" t="s">
        <v>170</v>
      </c>
      <c r="D78" t="s">
        <v>166</v>
      </c>
      <c r="E78" t="s">
        <v>115</v>
      </c>
      <c r="F78" s="10">
        <v>4</v>
      </c>
      <c r="G78" s="2">
        <v>11</v>
      </c>
      <c r="H78" s="2">
        <v>11.84</v>
      </c>
      <c r="I78" s="3"/>
    </row>
    <row r="79" spans="2:9" x14ac:dyDescent="0.3">
      <c r="B79" t="s">
        <v>174</v>
      </c>
      <c r="C79" t="s">
        <v>175</v>
      </c>
      <c r="D79" t="s">
        <v>166</v>
      </c>
      <c r="E79" t="s">
        <v>115</v>
      </c>
      <c r="F79" s="10">
        <v>32</v>
      </c>
      <c r="G79" s="2">
        <v>40.64</v>
      </c>
      <c r="H79" s="2">
        <v>20.8</v>
      </c>
      <c r="I79" s="3"/>
    </row>
    <row r="80" spans="2:9" x14ac:dyDescent="0.3">
      <c r="B80" t="s">
        <v>176</v>
      </c>
      <c r="C80" t="s">
        <v>177</v>
      </c>
      <c r="D80" t="s">
        <v>166</v>
      </c>
      <c r="E80" t="s">
        <v>115</v>
      </c>
      <c r="F80" s="10">
        <v>24</v>
      </c>
      <c r="G80" s="2">
        <v>30.48</v>
      </c>
      <c r="H80" s="2">
        <v>15.6</v>
      </c>
      <c r="I80" s="3"/>
    </row>
    <row r="81" spans="2:9" x14ac:dyDescent="0.3">
      <c r="B81" t="s">
        <v>178</v>
      </c>
      <c r="C81" t="s">
        <v>179</v>
      </c>
      <c r="D81" t="s">
        <v>166</v>
      </c>
      <c r="E81" t="s">
        <v>115</v>
      </c>
      <c r="F81" s="10">
        <v>24</v>
      </c>
      <c r="G81" s="2">
        <v>31.44</v>
      </c>
      <c r="H81" s="2">
        <v>16.079999999999998</v>
      </c>
      <c r="I81" s="3"/>
    </row>
    <row r="82" spans="2:9" x14ac:dyDescent="0.3">
      <c r="B82" t="s">
        <v>180</v>
      </c>
      <c r="C82" t="s">
        <v>181</v>
      </c>
      <c r="D82" t="s">
        <v>166</v>
      </c>
      <c r="E82" t="s">
        <v>115</v>
      </c>
      <c r="F82" s="10">
        <v>8</v>
      </c>
      <c r="G82" s="2">
        <v>10.48</v>
      </c>
      <c r="H82" s="2">
        <v>5.36</v>
      </c>
      <c r="I82" s="3"/>
    </row>
    <row r="83" spans="2:9" x14ac:dyDescent="0.3">
      <c r="B83" t="s">
        <v>182</v>
      </c>
      <c r="C83" t="s">
        <v>183</v>
      </c>
      <c r="D83" t="s">
        <v>166</v>
      </c>
      <c r="E83" t="s">
        <v>115</v>
      </c>
      <c r="F83" s="10">
        <v>8</v>
      </c>
      <c r="G83" s="2">
        <v>12.8</v>
      </c>
      <c r="H83" s="2">
        <v>6.56</v>
      </c>
      <c r="I83" s="3"/>
    </row>
    <row r="84" spans="2:9" x14ac:dyDescent="0.3">
      <c r="B84" t="s">
        <v>184</v>
      </c>
      <c r="C84" t="s">
        <v>185</v>
      </c>
      <c r="D84" t="s">
        <v>186</v>
      </c>
      <c r="E84" t="s">
        <v>115</v>
      </c>
      <c r="F84" s="10">
        <v>50</v>
      </c>
      <c r="G84" s="2">
        <v>7.96</v>
      </c>
      <c r="H84" s="2">
        <v>6.41</v>
      </c>
      <c r="I84" s="3"/>
    </row>
    <row r="85" spans="2:9" x14ac:dyDescent="0.3">
      <c r="B85" t="s">
        <v>187</v>
      </c>
      <c r="C85" t="s">
        <v>188</v>
      </c>
      <c r="D85" t="s">
        <v>186</v>
      </c>
      <c r="E85" t="s">
        <v>115</v>
      </c>
      <c r="F85" s="10">
        <v>25</v>
      </c>
      <c r="G85" s="2">
        <v>3.98</v>
      </c>
      <c r="H85" s="2">
        <v>3.2</v>
      </c>
      <c r="I85" s="3"/>
    </row>
    <row r="86" spans="2:9" x14ac:dyDescent="0.3">
      <c r="B86" t="s">
        <v>189</v>
      </c>
      <c r="C86" t="s">
        <v>190</v>
      </c>
      <c r="D86" t="s">
        <v>186</v>
      </c>
      <c r="E86" t="s">
        <v>115</v>
      </c>
      <c r="F86" s="10">
        <v>25</v>
      </c>
      <c r="G86" s="2">
        <v>3.98</v>
      </c>
      <c r="H86" s="2">
        <v>3.2</v>
      </c>
      <c r="I86" s="3"/>
    </row>
    <row r="87" spans="2:9" x14ac:dyDescent="0.3">
      <c r="B87" t="s">
        <v>191</v>
      </c>
      <c r="C87" t="s">
        <v>192</v>
      </c>
      <c r="D87" t="s">
        <v>186</v>
      </c>
      <c r="E87" t="s">
        <v>115</v>
      </c>
      <c r="F87" s="10">
        <v>25</v>
      </c>
      <c r="G87" s="2">
        <v>3.98</v>
      </c>
      <c r="H87" s="2">
        <v>3.2</v>
      </c>
      <c r="I87" s="3"/>
    </row>
    <row r="88" spans="2:9" x14ac:dyDescent="0.3">
      <c r="B88" t="s">
        <v>193</v>
      </c>
      <c r="C88" t="s">
        <v>194</v>
      </c>
      <c r="D88" t="s">
        <v>186</v>
      </c>
      <c r="E88" t="s">
        <v>115</v>
      </c>
      <c r="F88" s="10">
        <v>25</v>
      </c>
      <c r="G88" s="2">
        <v>3.98</v>
      </c>
      <c r="H88" s="2">
        <v>3.2</v>
      </c>
      <c r="I88" s="3"/>
    </row>
    <row r="89" spans="2:9" x14ac:dyDescent="0.3">
      <c r="B89" t="s">
        <v>195</v>
      </c>
      <c r="C89" t="s">
        <v>196</v>
      </c>
      <c r="D89" t="s">
        <v>186</v>
      </c>
      <c r="E89" t="s">
        <v>115</v>
      </c>
      <c r="F89" s="10">
        <v>25</v>
      </c>
      <c r="G89" s="2">
        <v>3.98</v>
      </c>
      <c r="H89" s="2">
        <v>3.2</v>
      </c>
      <c r="I89" s="3"/>
    </row>
    <row r="90" spans="2:9" x14ac:dyDescent="0.3">
      <c r="B90" t="s">
        <v>197</v>
      </c>
      <c r="C90" t="s">
        <v>198</v>
      </c>
      <c r="D90" t="s">
        <v>186</v>
      </c>
      <c r="E90" t="s">
        <v>115</v>
      </c>
      <c r="F90" s="10">
        <v>25</v>
      </c>
      <c r="G90" s="2">
        <v>3.98</v>
      </c>
      <c r="H90" s="2">
        <v>3.2</v>
      </c>
      <c r="I90" s="3"/>
    </row>
    <row r="91" spans="2:9" x14ac:dyDescent="0.3">
      <c r="B91" t="s">
        <v>199</v>
      </c>
      <c r="C91" t="s">
        <v>200</v>
      </c>
      <c r="D91" t="s">
        <v>186</v>
      </c>
      <c r="E91" t="s">
        <v>115</v>
      </c>
      <c r="F91" s="10">
        <v>25</v>
      </c>
      <c r="G91" s="2">
        <v>5.0599999999999996</v>
      </c>
      <c r="H91" s="2">
        <v>4.07</v>
      </c>
      <c r="I91" s="3"/>
    </row>
    <row r="92" spans="2:9" x14ac:dyDescent="0.3">
      <c r="B92" t="s">
        <v>201</v>
      </c>
      <c r="C92" t="s">
        <v>202</v>
      </c>
      <c r="D92" t="s">
        <v>186</v>
      </c>
      <c r="E92" t="s">
        <v>115</v>
      </c>
      <c r="F92" s="10">
        <v>1</v>
      </c>
      <c r="G92" s="2">
        <v>6.84</v>
      </c>
      <c r="H92" s="2">
        <v>5.49</v>
      </c>
      <c r="I92" s="3"/>
    </row>
    <row r="93" spans="2:9" x14ac:dyDescent="0.3">
      <c r="B93" t="s">
        <v>203</v>
      </c>
      <c r="C93" t="s">
        <v>204</v>
      </c>
      <c r="D93" t="s">
        <v>186</v>
      </c>
      <c r="E93" t="s">
        <v>115</v>
      </c>
      <c r="F93" s="10">
        <v>1</v>
      </c>
      <c r="G93" s="2">
        <v>6.84</v>
      </c>
      <c r="H93" s="2">
        <v>5.49</v>
      </c>
      <c r="I93" s="3"/>
    </row>
    <row r="94" spans="2:9" x14ac:dyDescent="0.3">
      <c r="B94" t="s">
        <v>205</v>
      </c>
      <c r="C94" t="s">
        <v>206</v>
      </c>
      <c r="D94" t="s">
        <v>186</v>
      </c>
      <c r="E94" t="s">
        <v>115</v>
      </c>
      <c r="F94" s="10">
        <v>5</v>
      </c>
      <c r="G94" s="2">
        <v>8.1999999999999993</v>
      </c>
      <c r="H94" s="2">
        <v>6.6</v>
      </c>
      <c r="I94" s="3"/>
    </row>
    <row r="95" spans="2:9" x14ac:dyDescent="0.3">
      <c r="B95" t="s">
        <v>207</v>
      </c>
      <c r="C95" t="s">
        <v>208</v>
      </c>
      <c r="D95" t="s">
        <v>186</v>
      </c>
      <c r="E95" t="s">
        <v>115</v>
      </c>
      <c r="F95" s="10">
        <v>25</v>
      </c>
      <c r="G95" s="2">
        <v>23.5</v>
      </c>
      <c r="H95" s="2">
        <v>19.75</v>
      </c>
      <c r="I95" s="3"/>
    </row>
    <row r="96" spans="2:9" x14ac:dyDescent="0.3">
      <c r="B96" t="s">
        <v>209</v>
      </c>
      <c r="C96" t="s">
        <v>210</v>
      </c>
      <c r="D96" t="s">
        <v>186</v>
      </c>
      <c r="E96" t="s">
        <v>115</v>
      </c>
      <c r="F96" s="10">
        <v>25</v>
      </c>
      <c r="G96" s="2">
        <v>23.5</v>
      </c>
      <c r="H96" s="2">
        <v>19.75</v>
      </c>
      <c r="I96" s="3"/>
    </row>
    <row r="97" spans="2:9" x14ac:dyDescent="0.3">
      <c r="B97" t="s">
        <v>211</v>
      </c>
      <c r="C97" t="s">
        <v>212</v>
      </c>
      <c r="D97" t="s">
        <v>186</v>
      </c>
      <c r="E97" t="s">
        <v>115</v>
      </c>
      <c r="F97" s="10">
        <v>10</v>
      </c>
      <c r="G97" s="2">
        <v>66.3</v>
      </c>
      <c r="H97" s="2">
        <v>53.2</v>
      </c>
      <c r="I97" s="3"/>
    </row>
    <row r="98" spans="2:9" x14ac:dyDescent="0.3">
      <c r="B98" t="s">
        <v>213</v>
      </c>
      <c r="C98" t="s">
        <v>214</v>
      </c>
      <c r="D98" t="s">
        <v>215</v>
      </c>
      <c r="E98" t="s">
        <v>111</v>
      </c>
      <c r="F98" s="10">
        <v>25</v>
      </c>
      <c r="G98" s="2">
        <v>9.56</v>
      </c>
      <c r="H98" s="2">
        <v>8.2799999999999994</v>
      </c>
      <c r="I98" s="3"/>
    </row>
    <row r="99" spans="2:9" x14ac:dyDescent="0.3">
      <c r="B99" t="s">
        <v>216</v>
      </c>
      <c r="C99" t="s">
        <v>217</v>
      </c>
      <c r="D99" t="s">
        <v>218</v>
      </c>
      <c r="E99" t="s">
        <v>111</v>
      </c>
      <c r="F99" s="10">
        <v>50</v>
      </c>
      <c r="G99" s="2">
        <v>4.6900000000000004</v>
      </c>
      <c r="H99" s="2">
        <v>2.0699999999999998</v>
      </c>
      <c r="I99" s="3"/>
    </row>
    <row r="100" spans="2:9" x14ac:dyDescent="0.3">
      <c r="B100" t="s">
        <v>219</v>
      </c>
      <c r="C100" t="s">
        <v>220</v>
      </c>
      <c r="D100" t="s">
        <v>221</v>
      </c>
      <c r="E100" t="s">
        <v>111</v>
      </c>
      <c r="F100" s="10">
        <v>25</v>
      </c>
      <c r="G100" s="2">
        <v>14.75</v>
      </c>
      <c r="H100" s="2">
        <v>9.74</v>
      </c>
      <c r="I100" s="3"/>
    </row>
    <row r="101" spans="2:9" x14ac:dyDescent="0.3">
      <c r="B101" t="s">
        <v>222</v>
      </c>
      <c r="C101" t="s">
        <v>223</v>
      </c>
      <c r="D101" t="s">
        <v>224</v>
      </c>
      <c r="E101" t="s">
        <v>56</v>
      </c>
      <c r="F101" s="10">
        <v>250</v>
      </c>
      <c r="G101" s="2">
        <v>2.35</v>
      </c>
      <c r="H101" s="2">
        <v>1.7</v>
      </c>
      <c r="I101" s="3"/>
    </row>
    <row r="102" spans="2:9" x14ac:dyDescent="0.3">
      <c r="B102" t="s">
        <v>225</v>
      </c>
      <c r="C102" t="s">
        <v>226</v>
      </c>
      <c r="D102" t="s">
        <v>227</v>
      </c>
      <c r="E102" t="s">
        <v>9</v>
      </c>
      <c r="F102" s="10">
        <v>500</v>
      </c>
      <c r="G102" s="2">
        <v>31.5</v>
      </c>
      <c r="H102" s="2">
        <v>22.25</v>
      </c>
      <c r="I102" s="3"/>
    </row>
    <row r="103" spans="2:9" x14ac:dyDescent="0.3">
      <c r="B103" t="s">
        <v>228</v>
      </c>
      <c r="C103" t="s">
        <v>229</v>
      </c>
      <c r="D103" t="s">
        <v>230</v>
      </c>
      <c r="E103" t="s">
        <v>56</v>
      </c>
      <c r="F103" s="10">
        <v>100</v>
      </c>
      <c r="G103" s="2">
        <v>6.51</v>
      </c>
      <c r="H103" s="2">
        <v>4.5599999999999996</v>
      </c>
      <c r="I103" s="3"/>
    </row>
    <row r="104" spans="2:9" x14ac:dyDescent="0.3">
      <c r="B104" t="s">
        <v>231</v>
      </c>
      <c r="C104" t="s">
        <v>232</v>
      </c>
      <c r="D104" t="s">
        <v>230</v>
      </c>
      <c r="E104" t="s">
        <v>56</v>
      </c>
      <c r="F104" s="10">
        <v>100</v>
      </c>
      <c r="G104" s="2">
        <v>9.4700000000000006</v>
      </c>
      <c r="H104" s="2">
        <v>6.12</v>
      </c>
      <c r="I104" s="3"/>
    </row>
    <row r="105" spans="2:9" x14ac:dyDescent="0.3">
      <c r="B105" t="s">
        <v>233</v>
      </c>
      <c r="C105" t="s">
        <v>234</v>
      </c>
      <c r="D105" t="s">
        <v>235</v>
      </c>
      <c r="E105" t="s">
        <v>56</v>
      </c>
      <c r="F105" s="10">
        <v>25</v>
      </c>
      <c r="G105" s="2">
        <v>11.38</v>
      </c>
      <c r="H105" s="2">
        <v>6.49</v>
      </c>
      <c r="I105" s="3"/>
    </row>
    <row r="106" spans="2:9" x14ac:dyDescent="0.3">
      <c r="B106" t="s">
        <v>236</v>
      </c>
      <c r="C106" t="s">
        <v>237</v>
      </c>
      <c r="D106" t="s">
        <v>238</v>
      </c>
      <c r="E106" t="s">
        <v>56</v>
      </c>
      <c r="F106" s="10">
        <v>100</v>
      </c>
      <c r="G106" s="2">
        <v>15.38</v>
      </c>
      <c r="H106" s="2">
        <v>7.06</v>
      </c>
      <c r="I106" s="3"/>
    </row>
    <row r="107" spans="2:9" x14ac:dyDescent="0.3">
      <c r="B107" t="s">
        <v>239</v>
      </c>
      <c r="C107" t="s">
        <v>240</v>
      </c>
      <c r="D107" t="s">
        <v>241</v>
      </c>
      <c r="E107" t="s">
        <v>56</v>
      </c>
      <c r="F107" s="10">
        <v>50</v>
      </c>
      <c r="G107" s="2">
        <v>4.75</v>
      </c>
      <c r="H107" s="2">
        <v>1.19</v>
      </c>
      <c r="I107" s="3"/>
    </row>
    <row r="108" spans="2:9" x14ac:dyDescent="0.3">
      <c r="B108" t="s">
        <v>242</v>
      </c>
      <c r="C108" t="s">
        <v>243</v>
      </c>
      <c r="D108" t="s">
        <v>241</v>
      </c>
      <c r="E108" t="s">
        <v>56</v>
      </c>
      <c r="F108" s="10">
        <v>50</v>
      </c>
      <c r="G108" s="2">
        <v>6.22</v>
      </c>
      <c r="H108" s="2">
        <v>1.99</v>
      </c>
      <c r="I108" s="3"/>
    </row>
    <row r="109" spans="2:9" x14ac:dyDescent="0.3">
      <c r="B109" t="s">
        <v>244</v>
      </c>
      <c r="C109" t="s">
        <v>245</v>
      </c>
      <c r="D109" t="s">
        <v>246</v>
      </c>
      <c r="E109" t="s">
        <v>247</v>
      </c>
      <c r="F109" s="10">
        <v>12</v>
      </c>
      <c r="G109" s="2">
        <v>56.4</v>
      </c>
      <c r="H109" s="2">
        <v>49.44</v>
      </c>
      <c r="I109" s="3"/>
    </row>
    <row r="110" spans="2:9" x14ac:dyDescent="0.3">
      <c r="B110" t="s">
        <v>248</v>
      </c>
      <c r="C110" t="s">
        <v>249</v>
      </c>
      <c r="D110" t="s">
        <v>246</v>
      </c>
      <c r="E110" t="s">
        <v>247</v>
      </c>
      <c r="F110" s="10">
        <v>24</v>
      </c>
      <c r="G110" s="2">
        <v>72</v>
      </c>
      <c r="H110" s="2">
        <v>57.12</v>
      </c>
      <c r="I110" s="3"/>
    </row>
    <row r="111" spans="2:9" x14ac:dyDescent="0.3">
      <c r="B111" t="s">
        <v>250</v>
      </c>
      <c r="C111" t="s">
        <v>251</v>
      </c>
      <c r="D111" t="s">
        <v>252</v>
      </c>
      <c r="E111" t="s">
        <v>111</v>
      </c>
      <c r="F111" s="10">
        <v>10</v>
      </c>
      <c r="G111" s="2">
        <v>69.599999999999994</v>
      </c>
      <c r="H111" s="2">
        <v>53.1</v>
      </c>
      <c r="I111" s="3"/>
    </row>
    <row r="112" spans="2:9" x14ac:dyDescent="0.3">
      <c r="B112" t="s">
        <v>253</v>
      </c>
      <c r="C112" t="s">
        <v>254</v>
      </c>
      <c r="D112" t="s">
        <v>252</v>
      </c>
      <c r="E112" t="s">
        <v>111</v>
      </c>
      <c r="F112" s="10">
        <v>10</v>
      </c>
      <c r="G112" s="2">
        <v>14.5</v>
      </c>
      <c r="H112" s="2">
        <v>9.1999999999999993</v>
      </c>
      <c r="I112" s="3"/>
    </row>
    <row r="113" spans="2:9" x14ac:dyDescent="0.3">
      <c r="B113" t="s">
        <v>255</v>
      </c>
      <c r="C113" t="s">
        <v>256</v>
      </c>
      <c r="D113" t="s">
        <v>257</v>
      </c>
      <c r="E113" t="s">
        <v>111</v>
      </c>
      <c r="F113" s="10">
        <v>50</v>
      </c>
      <c r="G113" s="2">
        <v>22.53</v>
      </c>
      <c r="H113" s="2">
        <v>16.39</v>
      </c>
      <c r="I113" s="3"/>
    </row>
    <row r="114" spans="2:9" x14ac:dyDescent="0.3">
      <c r="B114" t="s">
        <v>258</v>
      </c>
      <c r="C114" t="s">
        <v>259</v>
      </c>
      <c r="D114" t="s">
        <v>260</v>
      </c>
      <c r="E114" t="s">
        <v>115</v>
      </c>
      <c r="F114" s="10">
        <v>25</v>
      </c>
      <c r="G114" s="2">
        <v>7.5</v>
      </c>
      <c r="H114" s="2">
        <v>6.25</v>
      </c>
      <c r="I114" s="3"/>
    </row>
    <row r="115" spans="2:9" x14ac:dyDescent="0.3">
      <c r="B115" t="s">
        <v>261</v>
      </c>
      <c r="C115" t="s">
        <v>262</v>
      </c>
      <c r="D115" t="s">
        <v>260</v>
      </c>
      <c r="E115" t="s">
        <v>115</v>
      </c>
      <c r="F115" s="10">
        <v>100</v>
      </c>
      <c r="G115" s="2">
        <v>26</v>
      </c>
      <c r="H115" s="2">
        <v>22</v>
      </c>
      <c r="I115" s="3"/>
    </row>
    <row r="116" spans="2:9" x14ac:dyDescent="0.3">
      <c r="B116" t="s">
        <v>263</v>
      </c>
      <c r="C116" t="s">
        <v>264</v>
      </c>
      <c r="D116" t="s">
        <v>260</v>
      </c>
      <c r="E116" t="s">
        <v>115</v>
      </c>
      <c r="F116" s="10">
        <v>100</v>
      </c>
      <c r="G116" s="2">
        <v>28</v>
      </c>
      <c r="H116" s="2">
        <v>24</v>
      </c>
      <c r="I116" s="3"/>
    </row>
    <row r="117" spans="2:9" x14ac:dyDescent="0.3">
      <c r="B117" t="s">
        <v>265</v>
      </c>
      <c r="C117" t="s">
        <v>266</v>
      </c>
      <c r="D117" t="s">
        <v>267</v>
      </c>
      <c r="E117" t="s">
        <v>268</v>
      </c>
      <c r="F117" s="10">
        <v>100</v>
      </c>
      <c r="G117" s="2">
        <v>14.17</v>
      </c>
      <c r="H117" s="2">
        <v>6.03</v>
      </c>
      <c r="I117" s="3"/>
    </row>
    <row r="118" spans="2:9" x14ac:dyDescent="0.3">
      <c r="B118" t="s">
        <v>269</v>
      </c>
      <c r="C118" t="s">
        <v>270</v>
      </c>
      <c r="D118" t="s">
        <v>271</v>
      </c>
      <c r="E118" t="s">
        <v>272</v>
      </c>
      <c r="F118" s="10">
        <v>25</v>
      </c>
      <c r="G118" s="2">
        <v>8.4499999999999993</v>
      </c>
      <c r="H118" s="2">
        <v>3.86</v>
      </c>
      <c r="I118" s="3"/>
    </row>
    <row r="119" spans="2:9" x14ac:dyDescent="0.3">
      <c r="B119" t="s">
        <v>273</v>
      </c>
      <c r="C119" t="s">
        <v>274</v>
      </c>
      <c r="D119" t="s">
        <v>271</v>
      </c>
      <c r="E119" t="s">
        <v>272</v>
      </c>
      <c r="F119" s="10">
        <v>25</v>
      </c>
      <c r="G119" s="2">
        <v>23.25</v>
      </c>
      <c r="H119" s="2">
        <v>9.02</v>
      </c>
      <c r="I119" s="3"/>
    </row>
    <row r="120" spans="2:9" x14ac:dyDescent="0.3">
      <c r="B120" t="s">
        <v>275</v>
      </c>
      <c r="C120" t="s">
        <v>276</v>
      </c>
      <c r="D120" t="s">
        <v>271</v>
      </c>
      <c r="E120" t="s">
        <v>272</v>
      </c>
      <c r="F120" s="10">
        <v>100</v>
      </c>
      <c r="G120" s="2">
        <v>28.14</v>
      </c>
      <c r="H120" s="2">
        <v>10.98</v>
      </c>
      <c r="I120" s="3"/>
    </row>
    <row r="121" spans="2:9" x14ac:dyDescent="0.3">
      <c r="B121" t="s">
        <v>277</v>
      </c>
      <c r="C121" t="s">
        <v>278</v>
      </c>
      <c r="D121" t="s">
        <v>279</v>
      </c>
      <c r="E121" t="s">
        <v>280</v>
      </c>
      <c r="F121" s="10">
        <v>2</v>
      </c>
      <c r="G121" s="2">
        <v>19.260000000000002</v>
      </c>
      <c r="H121" s="2">
        <v>23.68</v>
      </c>
      <c r="I121" s="3"/>
    </row>
    <row r="122" spans="2:9" x14ac:dyDescent="0.3">
      <c r="B122" t="s">
        <v>281</v>
      </c>
      <c r="C122" t="s">
        <v>282</v>
      </c>
      <c r="D122" t="s">
        <v>283</v>
      </c>
      <c r="E122" t="s">
        <v>9</v>
      </c>
      <c r="F122" s="10">
        <v>100</v>
      </c>
      <c r="G122" s="2">
        <v>6.56</v>
      </c>
      <c r="H122" s="2">
        <v>3.98</v>
      </c>
      <c r="I122" s="3"/>
    </row>
    <row r="123" spans="2:9" x14ac:dyDescent="0.3">
      <c r="B123" t="s">
        <v>284</v>
      </c>
      <c r="C123" t="s">
        <v>285</v>
      </c>
      <c r="D123" t="s">
        <v>283</v>
      </c>
      <c r="E123" t="s">
        <v>9</v>
      </c>
      <c r="F123" s="10">
        <v>100</v>
      </c>
      <c r="G123" s="2">
        <v>7.15</v>
      </c>
      <c r="H123" s="2">
        <v>4.33</v>
      </c>
      <c r="I123" s="3"/>
    </row>
    <row r="124" spans="2:9" x14ac:dyDescent="0.3">
      <c r="B124" t="s">
        <v>286</v>
      </c>
      <c r="C124" t="s">
        <v>287</v>
      </c>
      <c r="D124" t="s">
        <v>288</v>
      </c>
      <c r="E124" t="s">
        <v>56</v>
      </c>
      <c r="F124" s="10">
        <v>100</v>
      </c>
      <c r="G124" s="2">
        <v>5.41</v>
      </c>
      <c r="H124" s="2">
        <v>4.75</v>
      </c>
      <c r="I124" s="3"/>
    </row>
    <row r="125" spans="2:9" x14ac:dyDescent="0.3">
      <c r="B125" t="s">
        <v>289</v>
      </c>
      <c r="C125" t="s">
        <v>290</v>
      </c>
      <c r="D125" t="s">
        <v>288</v>
      </c>
      <c r="E125" t="s">
        <v>56</v>
      </c>
      <c r="F125" s="10">
        <v>100</v>
      </c>
      <c r="G125" s="2">
        <v>19.02</v>
      </c>
      <c r="H125" s="2">
        <v>6.04</v>
      </c>
      <c r="I125" s="3"/>
    </row>
    <row r="126" spans="2:9" x14ac:dyDescent="0.3">
      <c r="B126" t="s">
        <v>291</v>
      </c>
      <c r="C126" t="s">
        <v>292</v>
      </c>
      <c r="D126" t="s">
        <v>288</v>
      </c>
      <c r="E126" t="s">
        <v>56</v>
      </c>
      <c r="F126" s="10">
        <v>200</v>
      </c>
      <c r="G126" s="2">
        <v>17.02</v>
      </c>
      <c r="H126" s="2">
        <v>6.28</v>
      </c>
      <c r="I126" s="3"/>
    </row>
    <row r="127" spans="2:9" x14ac:dyDescent="0.3">
      <c r="B127" t="s">
        <v>293</v>
      </c>
      <c r="C127" t="s">
        <v>294</v>
      </c>
      <c r="D127" t="s">
        <v>295</v>
      </c>
      <c r="E127" t="s">
        <v>296</v>
      </c>
      <c r="F127" s="10">
        <v>6</v>
      </c>
      <c r="G127" s="2">
        <v>84.84</v>
      </c>
      <c r="H127" s="2">
        <v>84.78</v>
      </c>
      <c r="I127" s="3"/>
    </row>
    <row r="128" spans="2:9" x14ac:dyDescent="0.3">
      <c r="B128" t="s">
        <v>297</v>
      </c>
      <c r="C128" t="s">
        <v>298</v>
      </c>
      <c r="D128" t="s">
        <v>295</v>
      </c>
      <c r="E128" t="s">
        <v>296</v>
      </c>
      <c r="F128" s="10">
        <v>6</v>
      </c>
      <c r="G128" s="2">
        <v>94.38</v>
      </c>
      <c r="H128" s="2">
        <v>94.32</v>
      </c>
      <c r="I128" s="3"/>
    </row>
    <row r="129" spans="2:9" x14ac:dyDescent="0.3">
      <c r="B129" t="s">
        <v>299</v>
      </c>
      <c r="C129" t="s">
        <v>300</v>
      </c>
      <c r="D129" t="s">
        <v>301</v>
      </c>
      <c r="E129" t="s">
        <v>296</v>
      </c>
      <c r="F129" s="10">
        <v>1</v>
      </c>
      <c r="G129" s="2">
        <v>12.04</v>
      </c>
      <c r="H129" s="2">
        <v>12.02</v>
      </c>
      <c r="I129" s="3"/>
    </row>
    <row r="130" spans="2:9" x14ac:dyDescent="0.3">
      <c r="B130" t="s">
        <v>302</v>
      </c>
      <c r="C130" t="s">
        <v>303</v>
      </c>
      <c r="D130" t="s">
        <v>304</v>
      </c>
      <c r="E130" t="s">
        <v>305</v>
      </c>
      <c r="F130" s="10">
        <v>100</v>
      </c>
      <c r="G130" s="2">
        <v>26</v>
      </c>
      <c r="H130" s="2">
        <v>23.92</v>
      </c>
      <c r="I130" s="3"/>
    </row>
    <row r="131" spans="2:9" x14ac:dyDescent="0.3">
      <c r="B131" t="s">
        <v>306</v>
      </c>
      <c r="C131" t="s">
        <v>307</v>
      </c>
      <c r="D131" t="s">
        <v>308</v>
      </c>
      <c r="E131" t="s">
        <v>309</v>
      </c>
      <c r="F131" s="10">
        <v>1</v>
      </c>
      <c r="G131" s="2">
        <v>49.16</v>
      </c>
      <c r="H131" s="2">
        <v>44.41</v>
      </c>
      <c r="I131" s="3"/>
    </row>
    <row r="132" spans="2:9" x14ac:dyDescent="0.3">
      <c r="B132" t="s">
        <v>310</v>
      </c>
      <c r="C132" t="s">
        <v>311</v>
      </c>
      <c r="D132" t="s">
        <v>308</v>
      </c>
      <c r="E132" t="s">
        <v>309</v>
      </c>
      <c r="F132" s="10">
        <v>100</v>
      </c>
      <c r="G132" s="2">
        <v>3.68</v>
      </c>
      <c r="H132" s="2">
        <v>3.1</v>
      </c>
      <c r="I132" s="3"/>
    </row>
    <row r="133" spans="2:9" x14ac:dyDescent="0.3">
      <c r="B133" t="s">
        <v>312</v>
      </c>
      <c r="C133" t="s">
        <v>313</v>
      </c>
      <c r="D133" t="s">
        <v>308</v>
      </c>
      <c r="E133" t="s">
        <v>309</v>
      </c>
      <c r="F133" s="10">
        <v>1</v>
      </c>
      <c r="G133" s="2">
        <v>57.99</v>
      </c>
      <c r="H133" s="2">
        <v>53.1</v>
      </c>
      <c r="I133" s="3"/>
    </row>
    <row r="134" spans="2:9" x14ac:dyDescent="0.3">
      <c r="B134" t="s">
        <v>314</v>
      </c>
      <c r="C134" t="s">
        <v>315</v>
      </c>
      <c r="D134" t="s">
        <v>308</v>
      </c>
      <c r="E134" t="s">
        <v>309</v>
      </c>
      <c r="F134" s="10">
        <v>10</v>
      </c>
      <c r="G134" s="2">
        <v>65.45</v>
      </c>
      <c r="H134" s="2">
        <v>55.1</v>
      </c>
      <c r="I134" s="3"/>
    </row>
    <row r="135" spans="2:9" x14ac:dyDescent="0.3">
      <c r="B135" t="s">
        <v>316</v>
      </c>
      <c r="C135" t="s">
        <v>317</v>
      </c>
      <c r="D135" t="s">
        <v>308</v>
      </c>
      <c r="E135" t="s">
        <v>309</v>
      </c>
      <c r="F135" s="10">
        <v>10</v>
      </c>
      <c r="G135" s="2">
        <v>18.190000000000001</v>
      </c>
      <c r="H135" s="2">
        <v>15.3</v>
      </c>
      <c r="I135" s="3"/>
    </row>
    <row r="136" spans="2:9" x14ac:dyDescent="0.3">
      <c r="B136" t="s">
        <v>318</v>
      </c>
      <c r="C136" t="s">
        <v>319</v>
      </c>
      <c r="D136" t="s">
        <v>308</v>
      </c>
      <c r="E136" t="s">
        <v>309</v>
      </c>
      <c r="F136" s="10">
        <v>50</v>
      </c>
      <c r="G136" s="2">
        <v>3.86</v>
      </c>
      <c r="H136" s="2">
        <v>3.45</v>
      </c>
      <c r="I136" s="3"/>
    </row>
    <row r="137" spans="2:9" x14ac:dyDescent="0.3">
      <c r="B137" t="s">
        <v>320</v>
      </c>
      <c r="C137" t="s">
        <v>321</v>
      </c>
      <c r="D137" t="s">
        <v>308</v>
      </c>
      <c r="E137" t="s">
        <v>309</v>
      </c>
      <c r="F137" s="10">
        <v>25</v>
      </c>
      <c r="G137" s="2">
        <v>1.78</v>
      </c>
      <c r="H137" s="2">
        <v>1.5</v>
      </c>
      <c r="I137" s="3"/>
    </row>
    <row r="138" spans="2:9" x14ac:dyDescent="0.3">
      <c r="B138" t="s">
        <v>322</v>
      </c>
      <c r="C138" t="s">
        <v>323</v>
      </c>
      <c r="D138" t="s">
        <v>308</v>
      </c>
      <c r="E138" t="s">
        <v>309</v>
      </c>
      <c r="F138" s="10">
        <v>3</v>
      </c>
      <c r="G138" s="2">
        <v>17.670000000000002</v>
      </c>
      <c r="H138" s="2">
        <v>17.25</v>
      </c>
      <c r="I138" s="3"/>
    </row>
    <row r="139" spans="2:9" x14ac:dyDescent="0.3">
      <c r="B139" t="s">
        <v>324</v>
      </c>
      <c r="C139" t="s">
        <v>325</v>
      </c>
      <c r="D139" t="s">
        <v>308</v>
      </c>
      <c r="E139" t="s">
        <v>309</v>
      </c>
      <c r="F139" s="10">
        <v>4</v>
      </c>
      <c r="G139" s="2">
        <v>51.48</v>
      </c>
      <c r="H139" s="2">
        <v>44.6</v>
      </c>
      <c r="I139" s="3"/>
    </row>
    <row r="140" spans="2:9" x14ac:dyDescent="0.3">
      <c r="G140" s="2"/>
      <c r="H140" s="2"/>
      <c r="I140" s="3"/>
    </row>
  </sheetData>
  <pageMargins left="0.7" right="0.7" top="0.75" bottom="0.75" header="0.3" footer="0.3"/>
  <pageSetup orientation="landscape" horizontalDpi="4294967295" verticalDpi="4294967295" r:id="rId1"/>
  <headerFooter>
    <oddHeader>&amp;L&amp;10&amp;BPROJ PRFT:  Curr PB f1 TO Curr pc,COMPARISON FROM 10/06/2020 THRU 10/06/2021,Division: uav-000&amp;C&amp;R</oddHeader>
    <oddFooter>&amp;L&amp;08 pb220&amp;C&amp;08Page &amp;P of &amp;N&amp;R&amp;08 10/07/21  6:57AM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C16" sqref="C16"/>
    </sheetView>
  </sheetViews>
  <sheetFormatPr defaultRowHeight="14.4" x14ac:dyDescent="0.3"/>
  <cols>
    <col min="2" max="2" width="17.6640625" style="10" customWidth="1"/>
    <col min="3" max="3" width="31.6640625" customWidth="1"/>
    <col min="4" max="4" width="13.88671875" style="15" bestFit="1" customWidth="1"/>
    <col min="5" max="5" width="14" style="15" customWidth="1"/>
    <col min="6" max="6" width="15.44140625" style="18" customWidth="1"/>
  </cols>
  <sheetData>
    <row r="1" spans="1:6" s="8" customFormat="1" x14ac:dyDescent="0.3">
      <c r="A1" s="8" t="s">
        <v>339</v>
      </c>
      <c r="B1" s="12"/>
      <c r="D1" s="14"/>
      <c r="E1" s="14"/>
      <c r="F1" s="16"/>
    </row>
    <row r="2" spans="1:6" s="8" customFormat="1" x14ac:dyDescent="0.3">
      <c r="A2" s="13" t="s">
        <v>329</v>
      </c>
      <c r="B2" s="12"/>
      <c r="D2" s="14"/>
      <c r="E2" s="14"/>
      <c r="F2" s="16"/>
    </row>
    <row r="3" spans="1:6" s="1" customFormat="1" ht="15" thickBot="1" x14ac:dyDescent="0.35">
      <c r="B3" s="11" t="s">
        <v>344</v>
      </c>
      <c r="C3" s="1" t="s">
        <v>1</v>
      </c>
      <c r="D3" s="11" t="s">
        <v>340</v>
      </c>
      <c r="E3" s="11" t="s">
        <v>341</v>
      </c>
      <c r="F3" s="17" t="s">
        <v>343</v>
      </c>
    </row>
    <row r="4" spans="1:6" x14ac:dyDescent="0.3">
      <c r="C4" t="s">
        <v>328</v>
      </c>
      <c r="D4" s="15" t="s">
        <v>328</v>
      </c>
      <c r="E4" s="15" t="s">
        <v>328</v>
      </c>
    </row>
    <row r="5" spans="1:6" x14ac:dyDescent="0.3">
      <c r="B5" s="10" t="s">
        <v>9</v>
      </c>
      <c r="C5" t="s">
        <v>330</v>
      </c>
      <c r="D5" s="15">
        <v>689.21</v>
      </c>
      <c r="E5" s="15">
        <v>477.93</v>
      </c>
      <c r="F5" s="18">
        <v>-0.30659999999999998</v>
      </c>
    </row>
    <row r="6" spans="1:6" x14ac:dyDescent="0.3">
      <c r="B6" s="10" t="s">
        <v>56</v>
      </c>
      <c r="C6" t="s">
        <v>331</v>
      </c>
      <c r="D6" s="15">
        <v>294.68</v>
      </c>
      <c r="E6" s="15">
        <v>226.47</v>
      </c>
      <c r="F6" s="18">
        <v>-0.23149999999999998</v>
      </c>
    </row>
    <row r="7" spans="1:6" x14ac:dyDescent="0.3">
      <c r="B7" s="10" t="s">
        <v>111</v>
      </c>
      <c r="C7" t="s">
        <v>332</v>
      </c>
      <c r="D7" s="15">
        <v>142.83000000000001</v>
      </c>
      <c r="E7" s="15">
        <v>103.46</v>
      </c>
      <c r="F7" s="18">
        <v>-0.27560000000000001</v>
      </c>
    </row>
    <row r="8" spans="1:6" x14ac:dyDescent="0.3">
      <c r="B8" s="10" t="s">
        <v>115</v>
      </c>
      <c r="C8" t="s">
        <v>333</v>
      </c>
      <c r="D8" s="15">
        <v>1028.2</v>
      </c>
      <c r="E8" s="15">
        <v>772.72</v>
      </c>
      <c r="F8" s="18">
        <v>-0.24850000000000003</v>
      </c>
    </row>
    <row r="9" spans="1:6" x14ac:dyDescent="0.3">
      <c r="B9" s="10" t="s">
        <v>268</v>
      </c>
      <c r="C9" t="s">
        <v>334</v>
      </c>
      <c r="D9" s="15">
        <v>14.17</v>
      </c>
      <c r="E9" s="15">
        <v>6.03</v>
      </c>
      <c r="F9" s="18">
        <v>-0.57450000000000001</v>
      </c>
    </row>
    <row r="10" spans="1:6" x14ac:dyDescent="0.3">
      <c r="B10" s="10" t="s">
        <v>280</v>
      </c>
      <c r="C10" t="s">
        <v>327</v>
      </c>
      <c r="D10" s="15">
        <v>19.260000000000002</v>
      </c>
      <c r="E10" s="15">
        <v>23.68</v>
      </c>
      <c r="F10" s="18">
        <v>0.22949999999999998</v>
      </c>
    </row>
    <row r="11" spans="1:6" x14ac:dyDescent="0.3">
      <c r="B11" s="10" t="s">
        <v>305</v>
      </c>
      <c r="C11" t="s">
        <v>335</v>
      </c>
      <c r="D11" s="15">
        <v>26</v>
      </c>
      <c r="E11" s="15">
        <v>23.92</v>
      </c>
      <c r="F11" s="18">
        <v>-0.08</v>
      </c>
    </row>
    <row r="12" spans="1:6" x14ac:dyDescent="0.3">
      <c r="B12" s="10" t="s">
        <v>247</v>
      </c>
      <c r="C12" t="s">
        <v>336</v>
      </c>
      <c r="D12" s="15">
        <v>128.4</v>
      </c>
      <c r="E12" s="15">
        <v>106.56</v>
      </c>
      <c r="F12" s="18">
        <v>-0.17010000000000003</v>
      </c>
    </row>
    <row r="13" spans="1:6" x14ac:dyDescent="0.3">
      <c r="B13" s="10" t="s">
        <v>296</v>
      </c>
      <c r="C13" t="s">
        <v>337</v>
      </c>
      <c r="D13" s="15">
        <v>191.26</v>
      </c>
      <c r="E13" s="15">
        <v>191.12</v>
      </c>
      <c r="F13" s="18">
        <v>-7.000000000000001E-4</v>
      </c>
    </row>
    <row r="14" spans="1:6" x14ac:dyDescent="0.3">
      <c r="B14" s="10" t="s">
        <v>272</v>
      </c>
      <c r="C14" t="s">
        <v>338</v>
      </c>
      <c r="D14" s="15">
        <v>59.84</v>
      </c>
      <c r="E14" s="15">
        <v>23.86</v>
      </c>
      <c r="F14" s="18">
        <v>-0.60130000000000006</v>
      </c>
    </row>
    <row r="15" spans="1:6" x14ac:dyDescent="0.3">
      <c r="B15" s="10" t="s">
        <v>309</v>
      </c>
      <c r="C15" t="s">
        <v>345</v>
      </c>
      <c r="D15" s="15">
        <v>269.26</v>
      </c>
      <c r="E15" s="15">
        <v>237.81</v>
      </c>
      <c r="F15" s="18">
        <v>-0.1168</v>
      </c>
    </row>
    <row r="16" spans="1:6" x14ac:dyDescent="0.3">
      <c r="B16" s="19" t="s">
        <v>326</v>
      </c>
      <c r="C16" s="20"/>
      <c r="D16" s="21">
        <v>2863.11</v>
      </c>
      <c r="E16" s="21">
        <v>2193.56</v>
      </c>
      <c r="F16" s="22">
        <v>-0.2339</v>
      </c>
    </row>
    <row r="17" spans="3:5" x14ac:dyDescent="0.3">
      <c r="C17" t="s">
        <v>328</v>
      </c>
      <c r="D17" s="15" t="s">
        <v>328</v>
      </c>
      <c r="E17" s="15" t="s">
        <v>328</v>
      </c>
    </row>
    <row r="18" spans="3:5" x14ac:dyDescent="0.3">
      <c r="D18" s="15" t="s">
        <v>328</v>
      </c>
      <c r="E18" s="15" t="s">
        <v>328</v>
      </c>
    </row>
    <row r="19" spans="3:5" x14ac:dyDescent="0.3">
      <c r="C19" t="s">
        <v>328</v>
      </c>
      <c r="D19" s="15" t="s">
        <v>328</v>
      </c>
      <c r="E19" s="15" t="s">
        <v>328</v>
      </c>
    </row>
  </sheetData>
  <pageMargins left="0.7" right="0.7" top="0.75" bottom="0.75" header="0.3" footer="0.3"/>
  <pageSetup orientation="landscape" horizontalDpi="4294967295" verticalDpi="4294967295"/>
  <headerFooter>
    <oddHeader>&amp;L&amp;10&amp;BPROJ PRFT:  Curr PB f1 TO Curr pc,COMPARISON FROM 10/06/2020 THRU 10/06/2021,Division: uav-000&amp;C&amp;R</oddHeader>
    <oddFooter>&amp;L&amp;08 pb220&amp;C&amp;08Page &amp;P of &amp;N&amp;R&amp;08 10/07/21  6:57AM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Detail</vt:lpstr>
      <vt:lpstr>Summary</vt:lpstr>
      <vt:lpstr>Detail!Print_Titles</vt:lpstr>
      <vt:lpstr>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PROJ PRFT:  Curr PB f1 TO Curr pc</dc:subject>
  <dc:creator/>
  <dc:description>pb220</dc:description>
  <cp:lastModifiedBy/>
  <dcterms:created xsi:type="dcterms:W3CDTF">2021-10-07T11:57:15Z</dcterms:created>
  <dcterms:modified xsi:type="dcterms:W3CDTF">2021-10-07T12:40:36Z</dcterms:modified>
</cp:coreProperties>
</file>