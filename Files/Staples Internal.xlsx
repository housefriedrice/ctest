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hart\AppData\Local\Microsoft\Windows\INetCache\Content.Outlook\0ZBGQRRT\"/>
    </mc:Choice>
  </mc:AlternateContent>
  <xr:revisionPtr revIDLastSave="0" documentId="13_ncr:1_{A59413F3-FC2A-462D-8A5B-EBC39D5DC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" sheetId="1" r:id="rId1"/>
    <sheet name="Match Codes" sheetId="2" r:id="rId2"/>
  </sheets>
  <definedNames>
    <definedName name="_xlnm._FilterDatabase" localSheetId="0" hidden="1">Example!$A$2:$AL$348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" i="1" l="1"/>
  <c r="X1" i="1" l="1"/>
  <c r="U1" i="1" s="1"/>
  <c r="V1" i="1" s="1"/>
</calcChain>
</file>

<file path=xl/sharedStrings.xml><?xml version="1.0" encoding="utf-8"?>
<sst xmlns="http://schemas.openxmlformats.org/spreadsheetml/2006/main" count="2662" uniqueCount="554">
  <si>
    <t>Manufacturer</t>
  </si>
  <si>
    <t>Item Description</t>
  </si>
  <si>
    <t>Distributor Name</t>
  </si>
  <si>
    <t xml:space="preserve">Customer Internal Part number </t>
  </si>
  <si>
    <t>Unit of Measure (UoM)</t>
  </si>
  <si>
    <t>UoM Quantity</t>
  </si>
  <si>
    <t>Manufacturer Part Number</t>
  </si>
  <si>
    <t>Distributor Part Number</t>
  </si>
  <si>
    <t>Transaction Date</t>
  </si>
  <si>
    <t>Project Name</t>
  </si>
  <si>
    <t>Sequence Number</t>
  </si>
  <si>
    <t>Unit price</t>
  </si>
  <si>
    <t>Total baseline units</t>
  </si>
  <si>
    <t>Savings $</t>
  </si>
  <si>
    <t>Savings %</t>
  </si>
  <si>
    <t>Savings cat.</t>
  </si>
  <si>
    <t>CATEGORY</t>
  </si>
  <si>
    <t>PA PRICE</t>
  </si>
  <si>
    <t>CURRENT EXT</t>
  </si>
  <si>
    <t>PA EXT</t>
  </si>
  <si>
    <t>CSPL</t>
  </si>
  <si>
    <t>Location</t>
  </si>
  <si>
    <t>Other Notes 1</t>
  </si>
  <si>
    <t>Other Notes 2</t>
  </si>
  <si>
    <t>Other Notes 3</t>
  </si>
  <si>
    <t>Quantity</t>
  </si>
  <si>
    <t>NOTES</t>
  </si>
  <si>
    <t>BENCHMARK LOCATION</t>
  </si>
  <si>
    <t>Incumbent Pack Price</t>
  </si>
  <si>
    <t>STAPLES UNITS/ PACK</t>
  </si>
  <si>
    <t>UNIT PRICE</t>
  </si>
  <si>
    <t>STAPLES SKU</t>
  </si>
  <si>
    <t>STAPLES MANUFACTURER NAME</t>
  </si>
  <si>
    <t>STAPLES MANUFACTURER PART NUMBER</t>
  </si>
  <si>
    <t>PRODUCT DESCRIPTION</t>
  </si>
  <si>
    <t>STAPLES UOM</t>
  </si>
  <si>
    <t>MATCH TYPE</t>
  </si>
  <si>
    <t>PA NOTES</t>
  </si>
  <si>
    <t xml:space="preserve">For items we bid: </t>
  </si>
  <si>
    <r>
      <t>Exact Match  (E)</t>
    </r>
    <r>
      <rPr>
        <sz val="11"/>
        <color theme="1"/>
        <rFont val="Calibri"/>
        <family val="2"/>
        <scheme val="minor"/>
      </rPr>
      <t xml:space="preserve"> –  Staples matches Mfg/Vendor Name and Mfg/Vendor Part Number provided by PA Member</t>
    </r>
  </si>
  <si>
    <r>
      <t>Similar match (SM)</t>
    </r>
    <r>
      <rPr>
        <sz val="11"/>
        <color theme="1"/>
        <rFont val="Calibri"/>
        <family val="2"/>
        <scheme val="minor"/>
      </rPr>
      <t xml:space="preserve"> – Similar Staples product related to form, fit, function based on Mfg/Vendor Name, Mfg/Vendor Part Number and/or Item Description provided by PA Member</t>
    </r>
  </si>
  <si>
    <t xml:space="preserve">For items we NO BID: </t>
  </si>
  <si>
    <r>
      <t>Need More Information (X)</t>
    </r>
    <r>
      <rPr>
        <sz val="11"/>
        <color theme="1"/>
        <rFont val="Calibri"/>
        <family val="2"/>
        <scheme val="minor"/>
      </rPr>
      <t xml:space="preserve"> – Unable to process due to: missing or incomplete Mfg/Vendor Name, Mfg/Vendor Part Number and poor data quality</t>
    </r>
  </si>
  <si>
    <r>
      <t>Potential Sourcing/ Special Order (O)</t>
    </r>
    <r>
      <rPr>
        <sz val="11"/>
        <color theme="1"/>
        <rFont val="Calibri"/>
        <family val="2"/>
        <scheme val="minor"/>
      </rPr>
      <t xml:space="preserve"> – No bid/Customized Item</t>
    </r>
  </si>
  <si>
    <t>AAG-938P905</t>
  </si>
  <si>
    <t>FOL-52320</t>
  </si>
  <si>
    <t>IM1-BH3872</t>
  </si>
  <si>
    <t>UNV-00112</t>
  </si>
  <si>
    <t>UNV-51002</t>
  </si>
  <si>
    <t>ZEB-20510</t>
  </si>
  <si>
    <t>WHTHIVIS RND PERM MULTIPUR 2.5</t>
  </si>
  <si>
    <t xml:space="preserve">5FT STICKY BACK TAPE          </t>
  </si>
  <si>
    <t xml:space="preserve">BATTERY ALKALINE AAA 36PK     </t>
  </si>
  <si>
    <t xml:space="preserve">HIGHLIGHTER MAJOR ACCENT PNK  </t>
  </si>
  <si>
    <t xml:space="preserve">HIGHLIGHTER MAJOR ACCENT BLE  </t>
  </si>
  <si>
    <t xml:space="preserve">HIGHLIGHTER MAJOR ACCENT FLGN </t>
  </si>
  <si>
    <t>HIGHLIGHTER MAJOR ACCENT ORANG</t>
  </si>
  <si>
    <t>PRECISE V5 RT ROLLRBALL BLK FN</t>
  </si>
  <si>
    <t xml:space="preserve">HI-LITER 25025 BROAD TIP F/YE </t>
  </si>
  <si>
    <t xml:space="preserve">STPLS STAN VIEW BNDR 1IN WHT  </t>
  </si>
  <si>
    <t>BOUNTY GIANT 12PK SAS 83 SHEET</t>
  </si>
  <si>
    <t xml:space="preserve">STICKIES 3X3 REC YLW12PK      </t>
  </si>
  <si>
    <t xml:space="preserve">STICKIES 3X5 REC YLW 12PK     </t>
  </si>
  <si>
    <t xml:space="preserve">HP 950XL BLK/951 STD CMY 4PK  </t>
  </si>
  <si>
    <t xml:space="preserve">STAPLES LETTER SIZE CLIPBOARD </t>
  </si>
  <si>
    <t>SPLS #16 RBBR BANDS/1PK 1/4 LB</t>
  </si>
  <si>
    <t xml:space="preserve">STAPLES #33-RBBR BNDS 1/4 LB  </t>
  </si>
  <si>
    <t>STPLS 3TAB FF LTR MANILA 100BX</t>
  </si>
  <si>
    <t>LEXMARK 501H HY RETURN TON BLK</t>
  </si>
  <si>
    <t xml:space="preserve">STAPLES SMOKE CLIPBOARD 9X12  </t>
  </si>
  <si>
    <t xml:space="preserve">STAPLES CLEAR CLIPBOARD 9X12  </t>
  </si>
  <si>
    <t xml:space="preserve">BIC ROUND STIC MED BLUE DZ    </t>
  </si>
  <si>
    <t xml:space="preserve">BIC ROUND STIC MED BLK DZ     </t>
  </si>
  <si>
    <t xml:space="preserve">BIC ROUND STIC MED RED        </t>
  </si>
  <si>
    <t xml:space="preserve">PEN BALLPT CRISTAL MEDBLK     </t>
  </si>
  <si>
    <t xml:space="preserve">VIS-A-VIS FN BLK WET ERASE DZ </t>
  </si>
  <si>
    <t>VIS-VIS OVERHEAD MARKR AST 4PK</t>
  </si>
  <si>
    <t xml:space="preserve">SHARPIE FINE PERM BLACK 12/DZ </t>
  </si>
  <si>
    <t xml:space="preserve">SHARPIE MARKER FINE RED DZ    </t>
  </si>
  <si>
    <t xml:space="preserve">SHARPIE MARKER FINE BLU DZ    </t>
  </si>
  <si>
    <t xml:space="preserve">PAPMATE BP STIC MED BLK DZ    </t>
  </si>
  <si>
    <t xml:space="preserve">STAPLES 8.5X11 COPY CS        </t>
  </si>
  <si>
    <t xml:space="preserve">STAPLES  8.5X11 COPY RM       </t>
  </si>
  <si>
    <t xml:space="preserve">LOGITECH M187 BLACK           </t>
  </si>
  <si>
    <t xml:space="preserve">PAPMATE BP STIC MED BLU DZ    </t>
  </si>
  <si>
    <t xml:space="preserve">STAPLES #64-RBBR BNDS 1/4 LB  </t>
  </si>
  <si>
    <t>STAPLES CARBON PAPER 8.5X11 10</t>
  </si>
  <si>
    <t xml:space="preserve">STPLS SCRTCH PAD 4X6 WH 12PK  </t>
  </si>
  <si>
    <t xml:space="preserve">STPLS PERF PAD LGL 12PK YL    </t>
  </si>
  <si>
    <t xml:space="preserve">STPLS PAD PERF LTR WH 12PK    </t>
  </si>
  <si>
    <t xml:space="preserve">TR PAD PERF JNR WH 12PK       </t>
  </si>
  <si>
    <t xml:space="preserve">APPLE WIRED EB W REMOTE &amp; MIC </t>
  </si>
  <si>
    <t xml:space="preserve">COLOR CODE 3/4IN YLW LBL      </t>
  </si>
  <si>
    <t xml:space="preserve">COLOR CODE 3/4 RED LBL        </t>
  </si>
  <si>
    <t>STAPLES DURAMARK CHISEL BLK DZ</t>
  </si>
  <si>
    <t xml:space="preserve">SOUTHWORTH RESUME IVORY 100BX </t>
  </si>
  <si>
    <t>2 1/4INX130 ADDING MACHINE RLS</t>
  </si>
  <si>
    <t xml:space="preserve">RUBBER BANDS NO.33 FLLCSE     </t>
  </si>
  <si>
    <t xml:space="preserve">CANON CLI-251 COLOR 3PK       </t>
  </si>
  <si>
    <t>COPY PAPER 8.5X11 WHITE BX  PL</t>
  </si>
  <si>
    <t xml:space="preserve">CLASP ENV BRN KRAFT 6X9 -100  </t>
  </si>
  <si>
    <t xml:space="preserve">CLASP ENV BRN KRAFT 9X12 -100 </t>
  </si>
  <si>
    <t xml:space="preserve">STAPLES 1SUB 8X10.5 WIDE 6PK  </t>
  </si>
  <si>
    <t xml:space="preserve">AVY LSR LBL 3000PK 1X2 5/8    </t>
  </si>
  <si>
    <t xml:space="preserve">ELMERS GLUE ALL 1 GALLON      </t>
  </si>
  <si>
    <t>SCOTCH 6PK 3/4X650  MAGIC TAPE</t>
  </si>
  <si>
    <t xml:space="preserve">FOLDR 1/3CUT LTR MANILA 250   </t>
  </si>
  <si>
    <t xml:space="preserve">PAPERMATE FLAIR MED BLACK 12  </t>
  </si>
  <si>
    <t xml:space="preserve">ACME 3PK SCISSORS             </t>
  </si>
  <si>
    <t xml:space="preserve">5X8 BLANK 500CT               </t>
  </si>
  <si>
    <t xml:space="preserve">4X6 LINED INDX CRD 500 CT     </t>
  </si>
  <si>
    <t xml:space="preserve">3X5 BLANK INDX CRD 500 CT     </t>
  </si>
  <si>
    <t xml:space="preserve">POSTERBOARD 22X28 WHT 10      </t>
  </si>
  <si>
    <t xml:space="preserve">ENVELOPE GUM #9 -500          </t>
  </si>
  <si>
    <t xml:space="preserve">AVY LSR LBL 6UP 100-3 1/3 X 4 </t>
  </si>
  <si>
    <t>CHINA MARKERS BLK DOZ.</t>
  </si>
  <si>
    <t xml:space="preserve">MARS PLASTIC ERASERS 4        </t>
  </si>
  <si>
    <t>STPLS 1SUB NTBK CR5X7.5 80 3PK</t>
  </si>
  <si>
    <t xml:space="preserve">NOTEBK 3SUB 11X8.5 120 CT     </t>
  </si>
  <si>
    <t xml:space="preserve">3X5 RULED INDX CRD 100 CT     </t>
  </si>
  <si>
    <t xml:space="preserve">COLOR CODE 3/4IN ASST LBL     </t>
  </si>
  <si>
    <t xml:space="preserve">CRAYOLA 12/BX COLORED PENCILS </t>
  </si>
  <si>
    <t xml:space="preserve">DAB N SEAL 50ML 4-PACK        </t>
  </si>
  <si>
    <t xml:space="preserve">8.5X11 COPY PAPER CS IP       </t>
  </si>
  <si>
    <t xml:space="preserve">#1 PAPERCLIP 100PK FASH       </t>
  </si>
  <si>
    <t xml:space="preserve">CANON LS-82Z HANDHELD CALC    </t>
  </si>
  <si>
    <t xml:space="preserve">ESS-WAVE                      </t>
  </si>
  <si>
    <t xml:space="preserve">DUST-OFF 7OZ. 6 PK            </t>
  </si>
  <si>
    <t xml:space="preserve">DUST-OFF 7 OZ 2 PACK          </t>
  </si>
  <si>
    <t xml:space="preserve">2IN WHITE VIEW BINDER         </t>
  </si>
  <si>
    <t xml:space="preserve">1 IN WHITE BASIC BINDER       </t>
  </si>
  <si>
    <t>ROUND STIC GRIP BP MED BLUE 12</t>
  </si>
  <si>
    <t xml:space="preserve">PENCIL BEGINNER 13/32 DIA     </t>
  </si>
  <si>
    <t xml:space="preserve">CHALK ANTIDUST LOWDUST WHITE  </t>
  </si>
  <si>
    <t xml:space="preserve">BOX 5X8 INDEX CARD BLK        </t>
  </si>
  <si>
    <t xml:space="preserve">MAL DRY ERASE 8PK ASST        </t>
  </si>
  <si>
    <t xml:space="preserve">17X17 CLEAR .35MIL 1000CT     </t>
  </si>
  <si>
    <t xml:space="preserve">5 X 3/4 TAPE                  </t>
  </si>
  <si>
    <t xml:space="preserve">STPLS PAD 4SQ GRPH QD WH 6PK  </t>
  </si>
  <si>
    <t>PAPERMATE MAGIC RUB ERASER 3PK</t>
  </si>
  <si>
    <t xml:space="preserve">BIC VELOCITY RT BP MED BLK DZ </t>
  </si>
  <si>
    <t>X-ACTO SCHOOLPRO ELEC SHARPENR</t>
  </si>
  <si>
    <t>LABEL LSR CLR PRINT 1.25X2-3/8</t>
  </si>
  <si>
    <t>LABEL LSR WEATHERPROOF 3-1/3X4</t>
  </si>
  <si>
    <t xml:space="preserve">BIC ROUNDSTIC BP MED BLK 60   </t>
  </si>
  <si>
    <t xml:space="preserve">36X48 ECNMY STD LIP CHRMAT    </t>
  </si>
  <si>
    <t>POST-IT 1.5X2 GRNR PASTEL 12PK</t>
  </si>
  <si>
    <t>STAP PRES BK 6SLEV CLRFRNT WHT</t>
  </si>
  <si>
    <t xml:space="preserve">SHARPIE FINE PERM ASST 12/DZ  </t>
  </si>
  <si>
    <t xml:space="preserve">BATTERY ALKALINE AA 36PK      </t>
  </si>
  <si>
    <t>SPLS LIGHT MOVE&amp;STORE TAPE 6PK</t>
  </si>
  <si>
    <t xml:space="preserve">3/16 SPLS BUBBLE ROLL 12X25   </t>
  </si>
  <si>
    <t xml:space="preserve">POST-IT 3X3 JAIPUR 5PK        </t>
  </si>
  <si>
    <t xml:space="preserve">STAPLES #1 PPR CLP 1000CT     </t>
  </si>
  <si>
    <t xml:space="preserve">STAPLES JMB PPR CLP 1000CT    </t>
  </si>
  <si>
    <t>STAPLES JMB PPR CLP N/S 1000CT</t>
  </si>
  <si>
    <t xml:space="preserve">PENCIL BOX TRANSLUCENT CLEAR  </t>
  </si>
  <si>
    <t xml:space="preserve">AVY INK LBL 80UP 25 RET ADD   </t>
  </si>
  <si>
    <t xml:space="preserve">CRAYOLA 24/BX COLORED PENCILS </t>
  </si>
  <si>
    <t xml:space="preserve">CUP HOT PERFECT TOUCH 12OZ    </t>
  </si>
  <si>
    <t xml:space="preserve">SPLS 100 CD MULTI SLIM CASES  </t>
  </si>
  <si>
    <t>STAPLES JMB VNYL PPR CLP 500CT</t>
  </si>
  <si>
    <t xml:space="preserve">STAPLES SML BINDER CLP 144CT  </t>
  </si>
  <si>
    <t xml:space="preserve">STAPLES 500CT PUSH PNS CLR    </t>
  </si>
  <si>
    <t xml:space="preserve">STAPLES 200 THMB TKS NKL PLTD </t>
  </si>
  <si>
    <t>STAPLES ASST SML BNDR CLP 36CT</t>
  </si>
  <si>
    <t>STAPLES INVSBL TAPE3/4X400 4PK</t>
  </si>
  <si>
    <t>SBL INVISIBL TAPE 3/4X1296 6PK</t>
  </si>
  <si>
    <t xml:space="preserve">WESTCOTT 180DEGREE PROTRACTOR </t>
  </si>
  <si>
    <t xml:space="preserve">STAPLES 18PK GLUE STICK CLEAR </t>
  </si>
  <si>
    <t xml:space="preserve">CRUISER MATE FORM HLDR W/STRG </t>
  </si>
  <si>
    <t xml:space="preserve">SORTKWIK 3/8OZ 3PK 10053      </t>
  </si>
  <si>
    <t xml:space="preserve">HOT SPLS LTR 5MIL POUCH 100PK </t>
  </si>
  <si>
    <t>STAPLES FULLSTRP STAPLER VALPK</t>
  </si>
  <si>
    <t xml:space="preserve">NOTES 3X5 5PK ASST MARSEILLE  </t>
  </si>
  <si>
    <t>SPLS COLORS! 8.5X11 GREEN REAM</t>
  </si>
  <si>
    <t xml:space="preserve">STAPLES WHITE COVER STOCK     </t>
  </si>
  <si>
    <t xml:space="preserve">8.5X11 WHITE CARD STOCK 250   </t>
  </si>
  <si>
    <t xml:space="preserve">PASTELS 8.5X11 GREEN PAPER RM </t>
  </si>
  <si>
    <t xml:space="preserve">PASTELS 8.5X11 GOLD PAPER RM  </t>
  </si>
  <si>
    <t xml:space="preserve">PASTELS 8.5X11 BLUE PAPER RM  </t>
  </si>
  <si>
    <t>PASTELS 8.5X11 CANARY PAPER RM</t>
  </si>
  <si>
    <t xml:space="preserve">WRITE BROS BP MED BLACK 60    </t>
  </si>
  <si>
    <t>SWINGLINE STANDARD STAPLES 5PK</t>
  </si>
  <si>
    <t>TICONDEROGA #3 YELLOW PENCL 12</t>
  </si>
  <si>
    <t xml:space="preserve">LEAD REFILL 2H .5MM           </t>
  </si>
  <si>
    <t xml:space="preserve">MARKER FLIPCHART BULLET 8 AST </t>
  </si>
  <si>
    <t xml:space="preserve">MARKER OVRHD VIS-A-VIS FN RD  </t>
  </si>
  <si>
    <t xml:space="preserve">ANGEL SOFT TOILET TISSUE      </t>
  </si>
  <si>
    <t xml:space="preserve">COPPERTOP 9 VOLT BATTERY      </t>
  </si>
  <si>
    <t xml:space="preserve">STAPLER METAL FULL BK         </t>
  </si>
  <si>
    <t xml:space="preserve">SPLS HD CLR TAPE 48MMX50M 6PK </t>
  </si>
  <si>
    <t xml:space="preserve">SCISSOR STRAIGHT GENERAL 7 BK </t>
  </si>
  <si>
    <t xml:space="preserve">KNIFE UTLTY BLADES REP X3001  </t>
  </si>
  <si>
    <t>FOLDER CLASSIFICATION 4 SEC GR</t>
  </si>
  <si>
    <t>STPLS RUBRBNDS 1/4LB ASST CLRS</t>
  </si>
  <si>
    <t xml:space="preserve">SPLS 11X17 COPY CS            </t>
  </si>
  <si>
    <t xml:space="preserve">LABELS PERM WHT ID 5/8X3      </t>
  </si>
  <si>
    <t xml:space="preserve">TISSUE FACIAL ANGEL SOFT FLAT </t>
  </si>
  <si>
    <t xml:space="preserve">RUBBERBANDS PREM 1LB #117B    </t>
  </si>
  <si>
    <t xml:space="preserve">INVISIBLE TAPE 16PK BOX       </t>
  </si>
  <si>
    <t xml:space="preserve">SELF-INKING 20ML BLUE         </t>
  </si>
  <si>
    <t>CLIPBOARD LTR MASNTE 9X12.5 BN</t>
  </si>
  <si>
    <t>TAPE MASKING ECON .70INX60.1YD</t>
  </si>
  <si>
    <t xml:space="preserve">WASTECAN 3.5GAL BLACK PLASTIC </t>
  </si>
  <si>
    <t xml:space="preserve">PEN RSVP FINE PT RED DOZEN    </t>
  </si>
  <si>
    <t xml:space="preserve">BANDAGE 4444 ADHESIVE FLEX    </t>
  </si>
  <si>
    <t xml:space="preserve">ENRGL RET REFILL .7MM BLU     </t>
  </si>
  <si>
    <t xml:space="preserve">X-ACTO PRECISION KNIFE W/CAP  </t>
  </si>
  <si>
    <t xml:space="preserve">POST-IT 3X3 SS ELEC GLW 5PK   </t>
  </si>
  <si>
    <t xml:space="preserve">PEN RETR Z-GRIP 1.0MM BLACK   </t>
  </si>
  <si>
    <t xml:space="preserve">STRAWS JUMBO 7-3/4IN-WRAPPED  </t>
  </si>
  <si>
    <t xml:space="preserve">STAPLES 3X3 POP-UP BOLD 6     </t>
  </si>
  <si>
    <t xml:space="preserve">STICKIES 3X3 BRIGHT 12PK      </t>
  </si>
  <si>
    <t xml:space="preserve">STICKIES 3X3 POP WTRCLR 6PK   </t>
  </si>
  <si>
    <t>CLIP MINI BINDER 9/16 BK 144CT</t>
  </si>
  <si>
    <t xml:space="preserve">TAC 2.1 OZ. (60G) BP          </t>
  </si>
  <si>
    <t>NOTE STAPLES 3X3 BOLD ASSORTED</t>
  </si>
  <si>
    <t xml:space="preserve">SG TWIN POCKET FOLDER YELLOW  </t>
  </si>
  <si>
    <t xml:space="preserve">PREMIUM MEMBERSHIP  FEE       </t>
  </si>
  <si>
    <t xml:space="preserve">EXPO 2 DRY ERASE MARKERS-RED  </t>
  </si>
  <si>
    <t>EXPO 2 DRY ERASE MARKERS-GREEN</t>
  </si>
  <si>
    <t>POSTIT SS MEETING NOTE RIO 4X6</t>
  </si>
  <si>
    <t xml:space="preserve">POST-IT S.S MEETING NOTES 6X8 </t>
  </si>
  <si>
    <t xml:space="preserve">EXACT INDEX 90 LB             </t>
  </si>
  <si>
    <t xml:space="preserve">SCOTCH ADHESIVE PUTTY 2OZ     </t>
  </si>
  <si>
    <t>SHEET PROT STPLS HEAVYWT 200CT</t>
  </si>
  <si>
    <t xml:space="preserve">BINDER CLIP MICRO BLACK       </t>
  </si>
  <si>
    <t xml:space="preserve">8.5 X 5.5 SHEET PROTECT 25PK  </t>
  </si>
  <si>
    <t xml:space="preserve">TASK CHAIR                    </t>
  </si>
  <si>
    <t xml:space="preserve">SPLS 67# COVER 8.5X11 CREAM   </t>
  </si>
  <si>
    <t xml:space="preserve">SPS 67# COVER STOCK 11X17 WHT </t>
  </si>
  <si>
    <t xml:space="preserve">PENTEL ENERGEL RTX .7MM       </t>
  </si>
  <si>
    <t xml:space="preserve">PENCIL COLOR 8/ST AST         </t>
  </si>
  <si>
    <t xml:space="preserve">SHARPIE MKR ULTRA FN BLK DZ   </t>
  </si>
  <si>
    <t>STAPLES #32 RUBBER BANDS 1/4LB</t>
  </si>
  <si>
    <t xml:space="preserve">STAPLES 2PK STANDARD STAPLES  </t>
  </si>
  <si>
    <t>TAPE DOUBLE -SIDED W/DISPENSER</t>
  </si>
  <si>
    <t>SONIX RET GEL 12PK CHIP BOX BK</t>
  </si>
  <si>
    <t>SONIX RET GEL 12PK CHIP BOX RD</t>
  </si>
  <si>
    <t>SONIX RET GEL 12PK CHIP BOX BL</t>
  </si>
  <si>
    <t xml:space="preserve">HANDI-BAG WHITE WASTE LINER   </t>
  </si>
  <si>
    <t xml:space="preserve">CLEANER SPRAY PINK GRAPEFRT   </t>
  </si>
  <si>
    <t xml:space="preserve">AVERY CLEAN EDGE BUS WHT 400  </t>
  </si>
  <si>
    <t xml:space="preserve">SPLS NO-DRIP ROLL-ON DISP 2PK </t>
  </si>
  <si>
    <t>PENTEL LEAD REFILL .9MM HB 3PK</t>
  </si>
  <si>
    <t xml:space="preserve">QUADRILLE GRAPH PAPER 8.5X11  </t>
  </si>
  <si>
    <t xml:space="preserve">DART 16OZ FOAM CUP 500PK      </t>
  </si>
  <si>
    <t xml:space="preserve">STATIC ELIMINATOR             </t>
  </si>
  <si>
    <t xml:space="preserve">CASIO DESKTOP DISPLAY CALC    </t>
  </si>
  <si>
    <t xml:space="preserve">PRE-SHARPENED TICONDEROGA PEN </t>
  </si>
  <si>
    <t xml:space="preserve">PILOT G2 .7MM FN BLK 5PK      </t>
  </si>
  <si>
    <t xml:space="preserve">TICONDEROGA #1 PENCIL DZ      </t>
  </si>
  <si>
    <t>STPLS FLLR PPR WR 8X10.5 120CT</t>
  </si>
  <si>
    <t xml:space="preserve">SHARPIE MARKER FINE GRN DZ    </t>
  </si>
  <si>
    <t xml:space="preserve">SOAP SOFT REFILL GALLON       </t>
  </si>
  <si>
    <t xml:space="preserve">CASE JEWEL SLIM 100/PK        </t>
  </si>
  <si>
    <t xml:space="preserve">BAGASSE ESLPD 27X36 SQRS      </t>
  </si>
  <si>
    <t xml:space="preserve">BIC DRY ERASE MARKER LOW ODOR </t>
  </si>
  <si>
    <t xml:space="preserve">STAPLES RUBBERBANDS #33/1-LB  </t>
  </si>
  <si>
    <t xml:space="preserve">STAPLES RUBBERBANDS #64/1-LB  </t>
  </si>
  <si>
    <t>PAD CROSS SECTION 10 SQUARE LE</t>
  </si>
  <si>
    <t xml:space="preserve">WRAP BUBBLE 1/2 12X30 POLY B  </t>
  </si>
  <si>
    <t>REMARKS DRY ERASE CHISEL RED</t>
  </si>
  <si>
    <t>CLX DISF WIPES FRESH 75CT 6/CT</t>
  </si>
  <si>
    <t xml:space="preserve">Z-GRIP RET BP PEN 1.2MM       </t>
  </si>
  <si>
    <t xml:space="preserve">PAD LGL RL PERF 5X8 WE        </t>
  </si>
  <si>
    <t xml:space="preserve">PAD LGL RL PERF 5X8 CY        </t>
  </si>
  <si>
    <t xml:space="preserve">PAN OVAL W/BRUSH SEMI-MOIST   </t>
  </si>
  <si>
    <t>TRANSP FILM-COPIER CLEAR 100BX</t>
  </si>
  <si>
    <t xml:space="preserve">TAPE TRANS DSPR .75X1000      </t>
  </si>
  <si>
    <t xml:space="preserve">PAD LGL RL PERF LTR CY        </t>
  </si>
  <si>
    <t xml:space="preserve">STAPLES SM BINDERCLIPS 40CT   </t>
  </si>
  <si>
    <t xml:space="preserve">STAPLES MED BINDERCLIPS 24CT  </t>
  </si>
  <si>
    <t xml:space="preserve">STAPLES LGE BINDERCLIPS 12CT  </t>
  </si>
  <si>
    <t xml:space="preserve">POSTCARD INKJET WHITE 200     </t>
  </si>
  <si>
    <t>STICKIES 1/2 PG MRKR ULTRA 5PK</t>
  </si>
  <si>
    <t>CARD 8.5X11 BRIGHT RED 65# 250</t>
  </si>
  <si>
    <t>CARD 8.5X11 BRIGHT GRN 65# 250</t>
  </si>
  <si>
    <t xml:space="preserve">LOGI MSE WRLSS M705 MARATHON  </t>
  </si>
  <si>
    <t xml:space="preserve">NTBK 7X5 5/8 2 COLG RILD AST  </t>
  </si>
  <si>
    <t xml:space="preserve">MARKER FLIPCHART BLACK 8PK    </t>
  </si>
  <si>
    <t>STAPLER LIGHT TOUCH 2-20 SHT F</t>
  </si>
  <si>
    <t>PAPER COPY 20# LETTER BLUE 500</t>
  </si>
  <si>
    <t xml:space="preserve">NITRILE DISP GLOVE PWDRFR MD  </t>
  </si>
  <si>
    <t>POST-IT .5 ARROW FLAGS AST 5PK</t>
  </si>
  <si>
    <t>HYGIENIC SORTKWIK 1-3/4 OZ/2PK</t>
  </si>
  <si>
    <t>SOFPULL HARDROLL WH TOWEL 6/CT</t>
  </si>
  <si>
    <t xml:space="preserve">3X5 LINED PASTEL 300 CT       </t>
  </si>
  <si>
    <t xml:space="preserve">P-TOUCH TAPE 1/2IN BLK/WHT    </t>
  </si>
  <si>
    <t>BROTHER TZE-221 9MM BLK ON WHT</t>
  </si>
  <si>
    <t xml:space="preserve">P-TCH TAPE 3/4IN BLK/WHT      </t>
  </si>
  <si>
    <t>BROTHER TZE-631 12MM BLK ON YL</t>
  </si>
  <si>
    <t>BROTHER TZE-1312PK 12MM BLKCLR</t>
  </si>
  <si>
    <t xml:space="preserve">TAPE LABEL 1 IN BLK/WHT       </t>
  </si>
  <si>
    <t xml:space="preserve">NITRL DISP GLOVE PF MD 100BX  </t>
  </si>
  <si>
    <t>NITRILE DISP GLOVE PWDFR SM BX</t>
  </si>
  <si>
    <t>STAPLES DURAMARK CHISEL AST DZ</t>
  </si>
  <si>
    <t>PLUSH TOUCH MOUSEPAD WRISTREST</t>
  </si>
  <si>
    <t xml:space="preserve">HOLMES CLIPSTAND FAN          </t>
  </si>
  <si>
    <t xml:space="preserve">SPLS UNVRSL INKJET PRNTR FILM </t>
  </si>
  <si>
    <t>PAPER LTR 250PK 110# WE</t>
  </si>
  <si>
    <t>GLOVEEXAM NTRL PF RBE MD100BX</t>
  </si>
  <si>
    <t xml:space="preserve">#19 3.5X0.06 BE RUBBER BAND   </t>
  </si>
  <si>
    <t xml:space="preserve">FILTER COLFFEE&amp;TEA 1000/CT    </t>
  </si>
  <si>
    <t>PERM MARKERS BLACK BULLET 36PK</t>
  </si>
  <si>
    <t>CRZRT SUPR WASH BROAD MRKRS 10</t>
  </si>
  <si>
    <t xml:space="preserve">SNAP BLADE KNIFE 13PT         </t>
  </si>
  <si>
    <t xml:space="preserve">PLASTIC CLIPBRD LNDSCP BLACK  </t>
  </si>
  <si>
    <t xml:space="preserve">FOLGERS CLASSIC ROAST 30.5 OZ </t>
  </si>
  <si>
    <t>FASTENER ROUND HEAD 100PK GOLD</t>
  </si>
  <si>
    <t xml:space="preserve">LOOSE LEAF RINGS 1IN 100PK    </t>
  </si>
  <si>
    <t xml:space="preserve">ALUMINUM CLIPBOARD MEMO       </t>
  </si>
  <si>
    <t xml:space="preserve">HP 26A BLACK TONER CARTRIDGE  </t>
  </si>
  <si>
    <t xml:space="preserve">HP 410A BLACK TONER CARTRIDGE </t>
  </si>
  <si>
    <t>S106 BALPOINT PEN 12PC BOX AST</t>
  </si>
  <si>
    <t>BOUNTY 6 DBL RLL SAS 126 SHEET</t>
  </si>
  <si>
    <t xml:space="preserve">NTRSMRT MS PAD DAISIES        </t>
  </si>
  <si>
    <t xml:space="preserve">CENTON MP VALUEPK USB 2.0 PRO </t>
  </si>
  <si>
    <t xml:space="preserve">HYPE TANK CHISEL YLW 12PK     </t>
  </si>
  <si>
    <t xml:space="preserve">HYPE SLIM ASST 5PK            </t>
  </si>
  <si>
    <t xml:space="preserve">4X6 POST IT LINED MIAMI 3PK   </t>
  </si>
  <si>
    <t>BOUNTY 8PK SINGLE PLUS SAS</t>
  </si>
  <si>
    <t>BROTHER PT-H110 LABEL MAKER</t>
  </si>
  <si>
    <t>VALUE TAPE WITH PWINKLE DISPEN</t>
  </si>
  <si>
    <t>ONYX MESH DSK ORG 3HOR 3UP WHT</t>
  </si>
  <si>
    <t xml:space="preserve">HANDLING FEE NON TAXABLE      </t>
  </si>
  <si>
    <t xml:space="preserve">93596264M ELECTRONIC KETTLE   </t>
  </si>
  <si>
    <t xml:space="preserve">SUGAR CANISTERS 22 OZ. 8 PK   </t>
  </si>
  <si>
    <t>FEBREZE AIR LINENSKY 2PK 8.8OZ</t>
  </si>
  <si>
    <t xml:space="preserve">FRESH LINEN DRY AIR FRSHNR CT </t>
  </si>
  <si>
    <t xml:space="preserve">MOUSEPDWTHWRSTRSTBLK9 1/4(D)  </t>
  </si>
  <si>
    <t>BACKBONE REP CVR 1/4 WHT</t>
  </si>
  <si>
    <t xml:space="preserve">VELCRO ONE-WRAP THIN TIES     </t>
  </si>
  <si>
    <t>COFFEE-MATE ORIG CREAMER 12/CT</t>
  </si>
  <si>
    <t xml:space="preserve">ESS-IGNITION                  </t>
  </si>
  <si>
    <t xml:space="preserve">THERMAL LAM POUCHES 3MIL 200  </t>
  </si>
  <si>
    <t>COPPERTOP AA ALKALINE BOX 0F 2</t>
  </si>
  <si>
    <t>COPPERTOP AAA ALKALINE BOX OF</t>
  </si>
  <si>
    <t xml:space="preserve">FOLGERS CLASSIC ROAST 48 OZ   </t>
  </si>
  <si>
    <t xml:space="preserve">OCELO CELLULOSE SPONGES 4/PK  </t>
  </si>
  <si>
    <t xml:space="preserve">3 GALLON TRASH BAG 30PCS      </t>
  </si>
  <si>
    <t xml:space="preserve">CORRECTION TAPE TW 10 PK CLR  </t>
  </si>
  <si>
    <t xml:space="preserve">BLACK MARKER 12BX             </t>
  </si>
  <si>
    <t xml:space="preserve">PEN BP STICK 0.7MM BLACK 12PK </t>
  </si>
  <si>
    <t xml:space="preserve">LOCKLAND BLACK LTHR B&amp;T CHAIR </t>
  </si>
  <si>
    <t xml:space="preserve">SPLS BLK GEL KYBRD WRST RT    </t>
  </si>
  <si>
    <t xml:space="preserve">POST-IT EASEL PAD WHITE 3PK   </t>
  </si>
  <si>
    <t xml:space="preserve">PERK 8.5 IN PAPER PLATE 125PK </t>
  </si>
  <si>
    <t>TR DRY ERASE FINE AST 4PK</t>
  </si>
  <si>
    <t>TR PERM CHISEL BLACK 12PK</t>
  </si>
  <si>
    <t xml:space="preserve">PERM MARKER TANK 12 PK ASST   </t>
  </si>
  <si>
    <t>TR SPRL NTBK M 80 MTNG BLK</t>
  </si>
  <si>
    <t xml:space="preserve">PERK 33 GAL BLACK DRAW        </t>
  </si>
  <si>
    <t xml:space="preserve">TRAY LINER                    </t>
  </si>
  <si>
    <t>FORK MEDIUM DUTY PLASTIC 300PK</t>
  </si>
  <si>
    <t xml:space="preserve">KNIVES MED DUTY PLASTIC 300PK </t>
  </si>
  <si>
    <t xml:space="preserve">SPOONS MED DUTY PLASTIC 300PK </t>
  </si>
  <si>
    <t xml:space="preserve">MONITOR STANDS 2 PACK         </t>
  </si>
  <si>
    <t>HP 410A BLK/CMY TONER CART 4PK</t>
  </si>
  <si>
    <t xml:space="preserve">HP 414A BLACK LJ TONER CART   </t>
  </si>
  <si>
    <t xml:space="preserve">HP 414A CYAN LJ TONER CART    </t>
  </si>
  <si>
    <t xml:space="preserve">HP 414A MAGTA LJ TONER CART   </t>
  </si>
  <si>
    <t>HP 414A YEL LJ TONER CARTRIDGE</t>
  </si>
  <si>
    <t>ZIPLOC SLIDER FREEZER QRT 34CT</t>
  </si>
  <si>
    <t>ZIPLOC SLIDER FREEZER GAL 24CT</t>
  </si>
  <si>
    <t>GLAD 13 GAL TRASH BAG 120CT OS</t>
  </si>
  <si>
    <t xml:space="preserve">TR STNDRD STPLS  1/4  25K     </t>
  </si>
  <si>
    <t>TR SPRLNB 8X10.5 CR 70 6PK BLK</t>
  </si>
  <si>
    <t xml:space="preserve">SENTENCE GUIDES YELLOW 12/PK  </t>
  </si>
  <si>
    <t xml:space="preserve">130 CALCULATOR                </t>
  </si>
  <si>
    <t xml:space="preserve">240 CALCULATOR                </t>
  </si>
  <si>
    <t xml:space="preserve">230 CALCULATOR                </t>
  </si>
  <si>
    <t>NOTED EXECUTIVE NTBK 9.5X7.375</t>
  </si>
  <si>
    <t xml:space="preserve">PM PROFILE BP 1.0MM 12CD BLK  </t>
  </si>
  <si>
    <t>RY21 AAG 3-MNTH REF WALL 23X12</t>
  </si>
  <si>
    <t xml:space="preserve">WIPES ALCOHOL 50 WIPES/PK     </t>
  </si>
  <si>
    <t xml:space="preserve">ASTRODESIGN - PASTEL ASST CAR </t>
  </si>
  <si>
    <t xml:space="preserve">INSTANT GEL HAND SANITIZER 1L </t>
  </si>
  <si>
    <t>EVOLVE 65 MON UC STND LINK 360</t>
  </si>
  <si>
    <t xml:space="preserve">NITRILE M EXM GLOVE 100/BOX   </t>
  </si>
  <si>
    <t xml:space="preserve">NITRILE L EXM GLOVE 100/BOX   </t>
  </si>
  <si>
    <t xml:space="preserve">NITRILE XL EXM GLOVE 100/BOX  </t>
  </si>
  <si>
    <t>RY22 TR DESK CAL UNLND 22X17</t>
  </si>
  <si>
    <t>PUR ES1 ADV GEL DISP STARTRKIT</t>
  </si>
  <si>
    <t>PUR ES1 ADV GEL 450ML RFL 6/CT</t>
  </si>
  <si>
    <t xml:space="preserve">CORRECTION TAPE 6PK MINI      </t>
  </si>
  <si>
    <t>NITRILE PF EXAM MD GLOVES INDG</t>
  </si>
  <si>
    <t xml:space="preserve">RY22 ATAGLNC CONTEMPO 15X12   </t>
  </si>
  <si>
    <t xml:space="preserve">CALENDAR,PROF,WKLY,MTH,PP     </t>
  </si>
  <si>
    <t xml:space="preserve">COFFEE,FILTER PACK,RD         </t>
  </si>
  <si>
    <t xml:space="preserve">USB WIRED NUMERIC KEYPAD      </t>
  </si>
  <si>
    <t xml:space="preserve">PK </t>
  </si>
  <si>
    <t xml:space="preserve">RL </t>
  </si>
  <si>
    <t xml:space="preserve">DZ </t>
  </si>
  <si>
    <t xml:space="preserve">EA </t>
  </si>
  <si>
    <t xml:space="preserve">BX </t>
  </si>
  <si>
    <t xml:space="preserve">CT </t>
  </si>
  <si>
    <t xml:space="preserve">RM </t>
  </si>
  <si>
    <t xml:space="preserve">PL </t>
  </si>
  <si>
    <t>DZ</t>
  </si>
  <si>
    <t xml:space="preserve">ST </t>
  </si>
  <si>
    <t>RM</t>
  </si>
  <si>
    <t>PK</t>
  </si>
  <si>
    <t>BX</t>
  </si>
  <si>
    <t>EA</t>
  </si>
  <si>
    <t>CT</t>
  </si>
  <si>
    <t>$14.79</t>
  </si>
  <si>
    <t>$30.49</t>
  </si>
  <si>
    <t>$19.49</t>
  </si>
  <si>
    <t>$22.99</t>
  </si>
  <si>
    <t>$17.99</t>
  </si>
  <si>
    <t>$17.49</t>
  </si>
  <si>
    <t>$50.99</t>
  </si>
  <si>
    <t>$4.91</t>
  </si>
  <si>
    <t>$3.99</t>
  </si>
  <si>
    <t>$4.39</t>
  </si>
  <si>
    <t>$0.81</t>
  </si>
  <si>
    <t>$5.79</t>
  </si>
  <si>
    <t>$4.95</t>
  </si>
  <si>
    <t>$137.99</t>
  </si>
  <si>
    <t>$1.99</t>
  </si>
  <si>
    <t>$4.29</t>
  </si>
  <si>
    <t>$10.64</t>
  </si>
  <si>
    <t>$6.02</t>
  </si>
  <si>
    <t>$2.99</t>
  </si>
  <si>
    <t>$12.99</t>
  </si>
  <si>
    <t>$3.49</t>
  </si>
  <si>
    <t>$22.49</t>
  </si>
  <si>
    <t>$4.89</t>
  </si>
  <si>
    <t>$3.71</t>
  </si>
  <si>
    <t>$29.00</t>
  </si>
  <si>
    <t>$149.99</t>
  </si>
  <si>
    <t>$60.99</t>
  </si>
  <si>
    <t>$2,185.99</t>
  </si>
  <si>
    <t>$4.79</t>
  </si>
  <si>
    <t>$7.29</t>
  </si>
  <si>
    <t>$32.99</t>
  </si>
  <si>
    <t>$13.29</t>
  </si>
  <si>
    <t>$13.99</t>
  </si>
  <si>
    <t>$29.99</t>
  </si>
  <si>
    <t>$2.29</t>
  </si>
  <si>
    <t>$7.79</t>
  </si>
  <si>
    <t>$287.99</t>
  </si>
  <si>
    <t>$32.49</t>
  </si>
  <si>
    <t>$7.99</t>
  </si>
  <si>
    <t>$46.99</t>
  </si>
  <si>
    <t>$15.49</t>
  </si>
  <si>
    <t>$14.99</t>
  </si>
  <si>
    <t>$4.23</t>
  </si>
  <si>
    <t>$31.49</t>
  </si>
  <si>
    <t>$8.79</t>
  </si>
  <si>
    <t>$8.99</t>
  </si>
  <si>
    <t>$18.49</t>
  </si>
  <si>
    <t>$4.56</t>
  </si>
  <si>
    <t>$9.29</t>
  </si>
  <si>
    <t>$1.49</t>
  </si>
  <si>
    <t>$3.19</t>
  </si>
  <si>
    <t>$19.39</t>
  </si>
  <si>
    <t>$4.69</t>
  </si>
  <si>
    <t>$4.04</t>
  </si>
  <si>
    <t>$18.99</t>
  </si>
  <si>
    <t>$26.19</t>
  </si>
  <si>
    <t>$13.79</t>
  </si>
  <si>
    <t>$7.49</t>
  </si>
  <si>
    <t>$1.79</t>
  </si>
  <si>
    <t>$48.49</t>
  </si>
  <si>
    <t>$63.99</t>
  </si>
  <si>
    <t>$21.99</t>
  </si>
  <si>
    <t>$6.79</t>
  </si>
  <si>
    <t>$3.29</t>
  </si>
  <si>
    <t>$299.00</t>
  </si>
  <si>
    <t>$8.05</t>
  </si>
  <si>
    <t>$17.79</t>
  </si>
  <si>
    <t>$28.99</t>
  </si>
  <si>
    <t>$66.99</t>
  </si>
  <si>
    <t>$21.49</t>
  </si>
  <si>
    <t>$45.49</t>
  </si>
  <si>
    <t>$6.40</t>
  </si>
  <si>
    <t>$6.99</t>
  </si>
  <si>
    <t>$6.29</t>
  </si>
  <si>
    <t>$5.99</t>
  </si>
  <si>
    <t>$5.29</t>
  </si>
  <si>
    <t>$11.29</t>
  </si>
  <si>
    <t>$44.49</t>
  </si>
  <si>
    <t>$2.79</t>
  </si>
  <si>
    <t>$2.49</t>
  </si>
  <si>
    <t>$11.07</t>
  </si>
  <si>
    <t>$69.99</t>
  </si>
  <si>
    <t>$11.79</t>
  </si>
  <si>
    <t>$15.29</t>
  </si>
  <si>
    <t>$16.79</t>
  </si>
  <si>
    <t>$41.49</t>
  </si>
  <si>
    <t>$6.49</t>
  </si>
  <si>
    <t>$24.49</t>
  </si>
  <si>
    <t>$34.99</t>
  </si>
  <si>
    <t>$18.29</t>
  </si>
  <si>
    <t>$49.63</t>
  </si>
  <si>
    <t>$9.62</t>
  </si>
  <si>
    <t>$15.99</t>
  </si>
  <si>
    <t>$13.49</t>
  </si>
  <si>
    <t>$16.99</t>
  </si>
  <si>
    <t>$3.79</t>
  </si>
  <si>
    <t>$19.79</t>
  </si>
  <si>
    <t>$4.99</t>
  </si>
  <si>
    <t>$10.31</t>
  </si>
  <si>
    <t>$20.99</t>
  </si>
  <si>
    <t>$94.41</t>
  </si>
  <si>
    <t>$91.66</t>
  </si>
  <si>
    <t>$19.29</t>
  </si>
  <si>
    <t>$109.99</t>
  </si>
  <si>
    <t>$42.66</t>
  </si>
  <si>
    <t>$76.99</t>
  </si>
  <si>
    <t>$9.49</t>
  </si>
  <si>
    <t>$23.49</t>
  </si>
  <si>
    <t>$29.49</t>
  </si>
  <si>
    <t>$33.49</t>
  </si>
  <si>
    <t>$199.99</t>
  </si>
  <si>
    <t>$11.99</t>
  </si>
  <si>
    <t>$74.99</t>
  </si>
  <si>
    <t>$8.63</t>
  </si>
  <si>
    <t>$7.13</t>
  </si>
  <si>
    <t>$15.79</t>
  </si>
  <si>
    <t>$42.99</t>
  </si>
  <si>
    <t>$10.79</t>
  </si>
  <si>
    <t>$12.79</t>
  </si>
  <si>
    <t>$17.69</t>
  </si>
  <si>
    <t>$0.79</t>
  </si>
  <si>
    <t>$1.29</t>
  </si>
  <si>
    <t>$13.59</t>
  </si>
  <si>
    <t>$20.69</t>
  </si>
  <si>
    <t>$34.49</t>
  </si>
  <si>
    <t>$24.99</t>
  </si>
  <si>
    <t>$0.99</t>
  </si>
  <si>
    <t>Office Supplies</t>
  </si>
  <si>
    <t>Facilities</t>
  </si>
  <si>
    <t>Ink</t>
  </si>
  <si>
    <t>OEM Toner</t>
  </si>
  <si>
    <t>Paper</t>
  </si>
  <si>
    <t>Technology - Everyday Tech</t>
  </si>
  <si>
    <t>Mail &amp; Ship</t>
  </si>
  <si>
    <t>Furniture - Transactional</t>
  </si>
  <si>
    <t>Breakroom - Non Water/Beverage</t>
  </si>
  <si>
    <t>Print</t>
  </si>
  <si>
    <t>JanSan</t>
  </si>
  <si>
    <t>Tech - SBA</t>
  </si>
  <si>
    <t>Technology - Computing/Printing</t>
  </si>
  <si>
    <t>E</t>
  </si>
  <si>
    <t>Custom</t>
  </si>
  <si>
    <t>PA Core</t>
  </si>
  <si>
    <t>Non-Core</t>
  </si>
  <si>
    <t>PILOT NEO-GEL GEL PENS, FINE POINT, BLACK </t>
  </si>
  <si>
    <t>UNIVERSAL BOXED RUBBER BANDS, SIZE 12, 1 3/4" X 1/16", 1 LB</t>
  </si>
  <si>
    <t xml:space="preserve">UNIVERSAL NICKEL-PLATED THUMB TACKS, 5/16"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</si>
</sst>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center"/>
    </xf>
    <xf numFmtId="44" fontId="0" fillId="0" borderId="0" xfId="1" applyFont="1" applyFill="1" applyBorder="1"/>
    <xf numFmtId="44" fontId="0" fillId="0" borderId="0" xfId="1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44" fontId="1" fillId="2" borderId="4" xfId="1" applyFont="1" applyFill="1" applyBorder="1" applyAlignment="1">
      <alignment horizontal="center" vertical="center"/>
    </xf>
    <xf numFmtId="9" fontId="1" fillId="2" borderId="4" xfId="2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4" fontId="3" fillId="4" borderId="4" xfId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4" fontId="3" fillId="3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3" fillId="3" borderId="4" xfId="1" applyNumberFormat="1" applyFont="1" applyFill="1" applyBorder="1" applyAlignment="1">
      <alignment horizontal="center" vertical="center" wrapText="1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0" xfId="1" applyNumberFormat="1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3" borderId="1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0" xfId="0" applyNumberFormat="1" applyFont="1" applyFill="1" applyBorder="1"/>
    <xf numFmtId="164" fontId="3" fillId="3" borderId="1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3" fillId="4" borderId="14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0" borderId="15" xfId="1" applyNumberFormat="1" applyFont="1" applyFill="1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164" fontId="0" fillId="6" borderId="9" xfId="1" applyNumberFormat="1" applyFont="1" applyFill="1" applyBorder="1" applyAlignment="1">
      <alignment horizontal="center"/>
    </xf>
    <xf numFmtId="164" fontId="0" fillId="6" borderId="0" xfId="1" applyNumberFormat="1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4F81BD"/>
      <color rgb="FFFFFF66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873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49.5546875" style="1" customWidth="1"/>
    <col min="2" max="2" width="14.44140625" style="2" bestFit="1" customWidth="1"/>
    <col min="3" max="3" width="13" style="1" bestFit="1" customWidth="1"/>
    <col min="4" max="4" width="15.5546875" style="4" bestFit="1" customWidth="1"/>
    <col min="5" max="5" width="16.5546875" style="1" bestFit="1" customWidth="1"/>
    <col min="6" max="6" width="15.109375" style="1" bestFit="1" customWidth="1"/>
    <col min="7" max="7" width="19.44140625" style="2" bestFit="1" customWidth="1"/>
    <col min="8" max="8" width="34" style="3" bestFit="1" customWidth="1"/>
    <col min="9" max="9" width="17.88671875" style="1" bestFit="1" customWidth="1"/>
    <col min="10" max="10" width="29.88671875" style="2" bestFit="1" customWidth="1"/>
    <col min="11" max="11" width="18" style="2" bestFit="1" customWidth="1"/>
    <col min="12" max="12" width="14.88671875" style="2" customWidth="1"/>
    <col min="13" max="13" width="18" style="2" bestFit="1" customWidth="1"/>
    <col min="14" max="14" width="20.109375" style="2" bestFit="1" customWidth="1"/>
    <col min="15" max="15" width="13.44140625" style="2" bestFit="1" customWidth="1"/>
    <col min="16" max="16" width="14.88671875" style="5" bestFit="1" customWidth="1"/>
    <col min="17" max="17" width="13.44140625" style="2" bestFit="1" customWidth="1"/>
    <col min="18" max="18" width="16.88671875" style="37" customWidth="1"/>
    <col min="19" max="19" width="21.88671875" style="2" bestFit="1" customWidth="1"/>
    <col min="20" max="20" width="20.109375" style="37" customWidth="1"/>
    <col min="21" max="21" width="17.88671875" style="6" customWidth="1"/>
    <col min="22" max="22" width="14.109375" style="7" bestFit="1" customWidth="1"/>
    <col min="23" max="23" width="15.5546875" style="2" bestFit="1" customWidth="1"/>
    <col min="24" max="24" width="28.44140625" style="5" bestFit="1" customWidth="1"/>
    <col min="25" max="25" width="23.5546875" style="5" customWidth="1"/>
    <col min="26" max="26" width="14.88671875" style="6" bestFit="1" customWidth="1"/>
    <col min="27" max="27" width="13.5546875" style="2" bestFit="1" customWidth="1"/>
    <col min="28" max="28" width="12.5546875" style="2" customWidth="1"/>
    <col min="29" max="29" width="20.44140625" style="1" customWidth="1"/>
    <col min="30" max="30" width="33.88671875" style="5" bestFit="1" customWidth="1"/>
    <col min="31" max="31" width="19.109375" style="1" customWidth="1"/>
    <col min="32" max="32" width="11.5546875" style="2" bestFit="1" customWidth="1"/>
    <col min="33" max="33" width="29.88671875" style="2" bestFit="1" customWidth="1"/>
    <col min="34" max="34" width="35.6640625" style="1" bestFit="1" customWidth="1"/>
    <col min="35" max="35" width="16.44140625" style="1" bestFit="1" customWidth="1"/>
    <col min="36" max="36" width="28.5546875" style="2" customWidth="1"/>
    <col min="37" max="37" width="20.5546875" style="1" customWidth="1"/>
    <col min="38" max="38" width="27" style="1" bestFit="1" customWidth="1"/>
    <col min="39" max="16384" width="9.109375" style="1"/>
  </cols>
  <sheetData>
    <row r="1" spans="1:38" x14ac:dyDescent="0.3">
      <c r="T1" s="5">
        <f>SUBTOTAL(9,T3:T348)</f>
        <v>466040.71999999904</v>
      </c>
      <c r="U1" s="6">
        <f>T1-X1</f>
        <v>58555.350000000035</v>
      </c>
      <c r="V1" s="7">
        <f>U1/T1</f>
        <v>0.12564427846562454</v>
      </c>
      <c r="X1" s="5">
        <f>SUBTOTAL(9,X3:X348)</f>
        <v>407485.36999999901</v>
      </c>
      <c r="AH1" s="2"/>
    </row>
    <row r="2" spans="1:38" s="8" customFormat="1" ht="43.8" thickBot="1" x14ac:dyDescent="0.35">
      <c r="A2" s="18" t="s">
        <v>9</v>
      </c>
      <c r="B2" s="19" t="s">
        <v>10</v>
      </c>
      <c r="C2" s="19" t="s">
        <v>21</v>
      </c>
      <c r="D2" s="20" t="s">
        <v>8</v>
      </c>
      <c r="E2" s="19" t="s">
        <v>3</v>
      </c>
      <c r="F2" s="19" t="s">
        <v>2</v>
      </c>
      <c r="G2" s="41" t="s">
        <v>7</v>
      </c>
      <c r="H2" s="19" t="s">
        <v>1</v>
      </c>
      <c r="I2" s="19" t="s">
        <v>0</v>
      </c>
      <c r="J2" s="19" t="s">
        <v>6</v>
      </c>
      <c r="K2" s="19" t="s">
        <v>22</v>
      </c>
      <c r="L2" s="19" t="s">
        <v>23</v>
      </c>
      <c r="M2" s="19" t="s">
        <v>24</v>
      </c>
      <c r="N2" s="19" t="s">
        <v>4</v>
      </c>
      <c r="O2" s="19" t="s">
        <v>5</v>
      </c>
      <c r="P2" s="21" t="s">
        <v>28</v>
      </c>
      <c r="Q2" s="22" t="s">
        <v>25</v>
      </c>
      <c r="R2" s="45" t="s">
        <v>11</v>
      </c>
      <c r="S2" s="13" t="s">
        <v>12</v>
      </c>
      <c r="T2" s="34" t="s">
        <v>18</v>
      </c>
      <c r="U2" s="14" t="s">
        <v>13</v>
      </c>
      <c r="V2" s="15" t="s">
        <v>14</v>
      </c>
      <c r="W2" s="16" t="s">
        <v>15</v>
      </c>
      <c r="X2" s="17" t="s">
        <v>19</v>
      </c>
      <c r="Y2" s="9" t="s">
        <v>30</v>
      </c>
      <c r="Z2" s="9" t="s">
        <v>17</v>
      </c>
      <c r="AA2" s="9" t="s">
        <v>35</v>
      </c>
      <c r="AB2" s="9" t="s">
        <v>29</v>
      </c>
      <c r="AC2" s="10" t="s">
        <v>26</v>
      </c>
      <c r="AD2" s="11" t="s">
        <v>32</v>
      </c>
      <c r="AE2" s="11" t="s">
        <v>33</v>
      </c>
      <c r="AF2" s="50" t="s">
        <v>31</v>
      </c>
      <c r="AG2" s="11" t="s">
        <v>16</v>
      </c>
      <c r="AH2" s="11" t="s">
        <v>34</v>
      </c>
      <c r="AI2" s="11" t="s">
        <v>36</v>
      </c>
      <c r="AJ2" s="11" t="s">
        <v>20</v>
      </c>
      <c r="AK2" s="10" t="s">
        <v>37</v>
      </c>
      <c r="AL2" s="12" t="s">
        <v>27</v>
      </c>
    </row>
    <row r="3" spans="1:38" x14ac:dyDescent="0.3">
      <c r="G3" s="46">
        <v>931433</v>
      </c>
      <c r="H3" s="38" t="s">
        <v>295</v>
      </c>
      <c r="N3" s="29" t="s">
        <v>396</v>
      </c>
      <c r="O3" s="2">
        <v>100</v>
      </c>
      <c r="Q3" s="29">
        <v>2167</v>
      </c>
      <c r="R3" s="44">
        <v>17.29</v>
      </c>
      <c r="T3" s="44">
        <v>37467.43</v>
      </c>
      <c r="X3" s="5">
        <v>18484.509999999998</v>
      </c>
      <c r="Z3" s="56">
        <v>8.5299999999999994</v>
      </c>
      <c r="AA3" s="42" t="s">
        <v>396</v>
      </c>
      <c r="AB3" s="2">
        <v>100</v>
      </c>
      <c r="AF3" s="46">
        <v>931433</v>
      </c>
      <c r="AG3" s="1" t="s">
        <v>535</v>
      </c>
      <c r="AH3" s="26" t="s">
        <v>295</v>
      </c>
      <c r="AI3" s="6" t="s">
        <v>547</v>
      </c>
      <c r="AJ3" s="57" t="s">
        <v>548</v>
      </c>
    </row>
    <row r="4" spans="1:38" x14ac:dyDescent="0.3">
      <c r="G4" s="46">
        <v>125328</v>
      </c>
      <c r="H4" s="39" t="s">
        <v>77</v>
      </c>
      <c r="N4" s="30" t="s">
        <v>394</v>
      </c>
      <c r="O4" s="2">
        <v>12</v>
      </c>
      <c r="Q4" s="30">
        <v>3936</v>
      </c>
      <c r="R4" s="44">
        <v>7.71</v>
      </c>
      <c r="T4" s="44">
        <v>30346.560000000001</v>
      </c>
      <c r="X4" s="5">
        <v>23694.719999999998</v>
      </c>
      <c r="Z4" s="52" t="s">
        <v>424</v>
      </c>
      <c r="AA4" s="43" t="s">
        <v>394</v>
      </c>
      <c r="AB4" s="2">
        <v>12</v>
      </c>
      <c r="AF4" s="46">
        <v>125328</v>
      </c>
      <c r="AG4" s="1" t="s">
        <v>534</v>
      </c>
      <c r="AH4" s="27" t="s">
        <v>77</v>
      </c>
      <c r="AI4" s="6" t="s">
        <v>547</v>
      </c>
      <c r="AJ4" s="46" t="s">
        <v>549</v>
      </c>
    </row>
    <row r="5" spans="1:38" x14ac:dyDescent="0.3">
      <c r="G5" s="46">
        <v>2072174</v>
      </c>
      <c r="H5" s="39" t="s">
        <v>319</v>
      </c>
      <c r="N5" s="30" t="s">
        <v>394</v>
      </c>
      <c r="O5" s="2">
        <v>12</v>
      </c>
      <c r="Q5" s="30">
        <v>4894</v>
      </c>
      <c r="R5" s="44">
        <v>3.87</v>
      </c>
      <c r="T5" s="44">
        <v>18939.78</v>
      </c>
      <c r="X5" s="5">
        <v>10619.98</v>
      </c>
      <c r="Z5" s="52">
        <v>2.17</v>
      </c>
      <c r="AA5" s="43" t="s">
        <v>394</v>
      </c>
      <c r="AB5" s="2">
        <v>12</v>
      </c>
      <c r="AF5" s="46">
        <v>2072174</v>
      </c>
      <c r="AG5" s="1" t="s">
        <v>534</v>
      </c>
      <c r="AH5" s="27" t="s">
        <v>319</v>
      </c>
      <c r="AI5" s="6" t="s">
        <v>547</v>
      </c>
      <c r="AJ5" s="46" t="s">
        <v>549</v>
      </c>
    </row>
    <row r="6" spans="1:38" x14ac:dyDescent="0.3">
      <c r="G6" s="46">
        <v>135848</v>
      </c>
      <c r="H6" s="39" t="s">
        <v>81</v>
      </c>
      <c r="N6" s="30" t="s">
        <v>397</v>
      </c>
      <c r="O6" s="2">
        <v>5000</v>
      </c>
      <c r="Q6" s="30">
        <v>462</v>
      </c>
      <c r="R6" s="44">
        <v>37.01</v>
      </c>
      <c r="T6" s="44">
        <v>17098.62</v>
      </c>
      <c r="X6" s="5">
        <v>16216.2</v>
      </c>
      <c r="Z6" s="52">
        <v>35.1</v>
      </c>
      <c r="AA6" s="43" t="s">
        <v>397</v>
      </c>
      <c r="AB6" s="2">
        <v>5000</v>
      </c>
      <c r="AF6" s="46">
        <v>135848</v>
      </c>
      <c r="AG6" s="1" t="s">
        <v>538</v>
      </c>
      <c r="AH6" s="27" t="s">
        <v>81</v>
      </c>
      <c r="AI6" s="6" t="s">
        <v>547</v>
      </c>
      <c r="AJ6" s="46" t="s">
        <v>549</v>
      </c>
    </row>
    <row r="7" spans="1:38" x14ac:dyDescent="0.3">
      <c r="G7" s="46">
        <v>568418</v>
      </c>
      <c r="H7" s="39" t="s">
        <v>216</v>
      </c>
      <c r="N7" s="30" t="s">
        <v>395</v>
      </c>
      <c r="O7" s="2">
        <v>1</v>
      </c>
      <c r="Q7" s="30">
        <v>4967</v>
      </c>
      <c r="R7" s="44">
        <v>3.4</v>
      </c>
      <c r="T7" s="44">
        <v>16887.8</v>
      </c>
      <c r="X7" s="5">
        <v>16341.43</v>
      </c>
      <c r="Z7" s="52" t="s">
        <v>470</v>
      </c>
      <c r="AA7" s="43" t="s">
        <v>395</v>
      </c>
      <c r="AB7" s="2">
        <v>1</v>
      </c>
      <c r="AF7" s="46">
        <v>568418</v>
      </c>
      <c r="AG7" s="1" t="s">
        <v>534</v>
      </c>
      <c r="AH7" s="27" t="s">
        <v>216</v>
      </c>
      <c r="AI7" s="6" t="s">
        <v>547</v>
      </c>
      <c r="AJ7" s="46" t="s">
        <v>550</v>
      </c>
    </row>
    <row r="8" spans="1:38" x14ac:dyDescent="0.3">
      <c r="G8" s="46">
        <v>296608</v>
      </c>
      <c r="H8" s="39" t="s">
        <v>119</v>
      </c>
      <c r="N8" s="30" t="s">
        <v>392</v>
      </c>
      <c r="O8" s="2">
        <v>100</v>
      </c>
      <c r="Q8" s="30">
        <v>33092</v>
      </c>
      <c r="R8" s="44">
        <v>0.5</v>
      </c>
      <c r="T8" s="44">
        <v>16546</v>
      </c>
      <c r="X8" s="5">
        <v>16546</v>
      </c>
      <c r="Z8" s="52">
        <v>0.5</v>
      </c>
      <c r="AA8" s="43" t="s">
        <v>392</v>
      </c>
      <c r="AB8" s="2">
        <v>100</v>
      </c>
      <c r="AF8" s="46">
        <v>296608</v>
      </c>
      <c r="AG8" s="1" t="s">
        <v>534</v>
      </c>
      <c r="AH8" s="27" t="s">
        <v>119</v>
      </c>
      <c r="AI8" s="6" t="s">
        <v>547</v>
      </c>
      <c r="AJ8" s="46" t="s">
        <v>548</v>
      </c>
    </row>
    <row r="9" spans="1:38" x14ac:dyDescent="0.3">
      <c r="G9" s="46">
        <v>556241</v>
      </c>
      <c r="H9" s="39" t="s">
        <v>206</v>
      </c>
      <c r="N9" s="30" t="s">
        <v>396</v>
      </c>
      <c r="O9" s="2">
        <v>100</v>
      </c>
      <c r="Q9" s="30">
        <v>1350</v>
      </c>
      <c r="R9" s="44">
        <v>12.12</v>
      </c>
      <c r="T9" s="44">
        <v>16361.999999999998</v>
      </c>
      <c r="X9" s="5">
        <v>10381.5</v>
      </c>
      <c r="Z9" s="56">
        <v>7.69</v>
      </c>
      <c r="AA9" s="43" t="s">
        <v>396</v>
      </c>
      <c r="AB9" s="2">
        <v>100</v>
      </c>
      <c r="AF9" s="46">
        <v>556241</v>
      </c>
      <c r="AG9" s="1" t="s">
        <v>535</v>
      </c>
      <c r="AH9" s="27" t="s">
        <v>206</v>
      </c>
      <c r="AI9" s="6" t="s">
        <v>547</v>
      </c>
      <c r="AJ9" s="46" t="s">
        <v>548</v>
      </c>
    </row>
    <row r="10" spans="1:38" x14ac:dyDescent="0.3">
      <c r="G10" s="46">
        <v>211540</v>
      </c>
      <c r="H10" s="39" t="s">
        <v>105</v>
      </c>
      <c r="N10" s="30" t="s">
        <v>392</v>
      </c>
      <c r="O10" s="2">
        <v>6</v>
      </c>
      <c r="Q10" s="30">
        <v>1316</v>
      </c>
      <c r="R10" s="44">
        <v>12.12</v>
      </c>
      <c r="T10" s="44">
        <v>15949.919999999998</v>
      </c>
      <c r="X10" s="5">
        <v>15568.28</v>
      </c>
      <c r="Z10" s="52">
        <v>11.83</v>
      </c>
      <c r="AA10" s="43" t="s">
        <v>392</v>
      </c>
      <c r="AB10" s="2">
        <v>6</v>
      </c>
      <c r="AF10" s="46">
        <v>211540</v>
      </c>
      <c r="AG10" s="1" t="s">
        <v>534</v>
      </c>
      <c r="AH10" s="27" t="s">
        <v>105</v>
      </c>
      <c r="AI10" s="6" t="s">
        <v>547</v>
      </c>
      <c r="AJ10" s="46" t="s">
        <v>548</v>
      </c>
    </row>
    <row r="11" spans="1:38" x14ac:dyDescent="0.3">
      <c r="G11" s="46">
        <v>105809</v>
      </c>
      <c r="H11" s="39" t="s">
        <v>61</v>
      </c>
      <c r="N11" s="30" t="s">
        <v>394</v>
      </c>
      <c r="O11" s="2">
        <v>12</v>
      </c>
      <c r="Q11" s="30">
        <v>2859</v>
      </c>
      <c r="R11" s="44">
        <v>5.49</v>
      </c>
      <c r="T11" s="44">
        <v>15695.91</v>
      </c>
      <c r="X11" s="5">
        <v>15209.880000000001</v>
      </c>
      <c r="Z11" s="52">
        <v>5.32</v>
      </c>
      <c r="AA11" s="43" t="s">
        <v>394</v>
      </c>
      <c r="AB11" s="2">
        <v>12</v>
      </c>
      <c r="AF11" s="46">
        <v>105809</v>
      </c>
      <c r="AG11" s="1" t="s">
        <v>534</v>
      </c>
      <c r="AH11" s="27" t="s">
        <v>61</v>
      </c>
      <c r="AI11" s="6" t="s">
        <v>547</v>
      </c>
      <c r="AJ11" s="46" t="s">
        <v>548</v>
      </c>
    </row>
    <row r="12" spans="1:38" x14ac:dyDescent="0.3">
      <c r="G12" s="46">
        <v>902008</v>
      </c>
      <c r="H12" s="39" t="s">
        <v>284</v>
      </c>
      <c r="N12" s="30" t="s">
        <v>397</v>
      </c>
      <c r="O12" s="2">
        <v>1000</v>
      </c>
      <c r="Q12" s="30">
        <v>90</v>
      </c>
      <c r="R12" s="44">
        <v>172.99</v>
      </c>
      <c r="T12" s="44">
        <v>15569.1</v>
      </c>
      <c r="X12" s="5">
        <v>7547.4</v>
      </c>
      <c r="Z12" s="56">
        <v>83.86</v>
      </c>
      <c r="AA12" s="43" t="s">
        <v>397</v>
      </c>
      <c r="AB12" s="2">
        <v>1000</v>
      </c>
      <c r="AF12" s="46">
        <v>902008</v>
      </c>
      <c r="AG12" s="1" t="s">
        <v>535</v>
      </c>
      <c r="AH12" s="27" t="s">
        <v>284</v>
      </c>
      <c r="AI12" s="6" t="s">
        <v>547</v>
      </c>
      <c r="AJ12" s="57" t="s">
        <v>548</v>
      </c>
    </row>
    <row r="13" spans="1:38" x14ac:dyDescent="0.3">
      <c r="G13" s="46">
        <v>24466560</v>
      </c>
      <c r="H13" s="39" t="s">
        <v>380</v>
      </c>
      <c r="N13" s="30" t="s">
        <v>396</v>
      </c>
      <c r="O13" s="2">
        <v>100</v>
      </c>
      <c r="Q13" s="30">
        <v>1106</v>
      </c>
      <c r="R13" s="44">
        <v>13</v>
      </c>
      <c r="T13" s="44">
        <v>14378</v>
      </c>
      <c r="X13" s="5">
        <v>15019.48</v>
      </c>
      <c r="Z13" s="52">
        <v>13.58</v>
      </c>
      <c r="AA13" s="43" t="s">
        <v>396</v>
      </c>
      <c r="AB13" s="2">
        <v>100</v>
      </c>
      <c r="AF13" s="46">
        <v>24466560</v>
      </c>
      <c r="AG13" s="1" t="s">
        <v>535</v>
      </c>
      <c r="AH13" s="27" t="s">
        <v>380</v>
      </c>
      <c r="AI13" s="6" t="s">
        <v>547</v>
      </c>
      <c r="AJ13" s="46" t="s">
        <v>548</v>
      </c>
    </row>
    <row r="14" spans="1:38" x14ac:dyDescent="0.3">
      <c r="G14" s="46">
        <v>1939879</v>
      </c>
      <c r="H14" s="39" t="s">
        <v>316</v>
      </c>
      <c r="N14" s="30" t="s">
        <v>392</v>
      </c>
      <c r="O14" s="2">
        <v>6</v>
      </c>
      <c r="Q14" s="30">
        <v>705</v>
      </c>
      <c r="R14" s="44">
        <v>15.39</v>
      </c>
      <c r="T14" s="44">
        <v>10849.95</v>
      </c>
      <c r="X14" s="5">
        <v>10257.75</v>
      </c>
      <c r="Z14" s="52">
        <v>14.55</v>
      </c>
      <c r="AA14" s="43" t="s">
        <v>392</v>
      </c>
      <c r="AB14" s="2">
        <v>6</v>
      </c>
      <c r="AF14" s="46">
        <v>1939879</v>
      </c>
      <c r="AG14" s="1" t="s">
        <v>535</v>
      </c>
      <c r="AH14" s="27" t="s">
        <v>316</v>
      </c>
      <c r="AI14" s="6" t="s">
        <v>547</v>
      </c>
      <c r="AJ14" s="46" t="s">
        <v>548</v>
      </c>
    </row>
    <row r="15" spans="1:38" x14ac:dyDescent="0.3">
      <c r="G15" s="46">
        <v>478455</v>
      </c>
      <c r="H15" s="39" t="s">
        <v>160</v>
      </c>
      <c r="N15" s="30" t="s">
        <v>392</v>
      </c>
      <c r="O15" s="2">
        <v>100</v>
      </c>
      <c r="Q15" s="30">
        <v>611</v>
      </c>
      <c r="R15" s="44">
        <v>17.02</v>
      </c>
      <c r="T15" s="44">
        <v>10399.219999999999</v>
      </c>
      <c r="X15" s="5">
        <v>10399.219999999999</v>
      </c>
      <c r="Z15" s="52">
        <v>17.02</v>
      </c>
      <c r="AA15" s="43" t="s">
        <v>392</v>
      </c>
      <c r="AB15" s="2">
        <v>100</v>
      </c>
      <c r="AF15" s="46">
        <v>478455</v>
      </c>
      <c r="AG15" s="1" t="s">
        <v>539</v>
      </c>
      <c r="AH15" s="27" t="s">
        <v>160</v>
      </c>
      <c r="AI15" s="6" t="s">
        <v>547</v>
      </c>
      <c r="AJ15" s="46" t="s">
        <v>548</v>
      </c>
    </row>
    <row r="16" spans="1:38" x14ac:dyDescent="0.3">
      <c r="G16" s="46">
        <v>490614</v>
      </c>
      <c r="H16" s="39" t="s">
        <v>174</v>
      </c>
      <c r="N16" s="30" t="s">
        <v>392</v>
      </c>
      <c r="O16" s="2">
        <v>5</v>
      </c>
      <c r="Q16" s="30">
        <v>1507</v>
      </c>
      <c r="R16" s="44">
        <v>6.79</v>
      </c>
      <c r="T16" s="44">
        <v>10232.530000000001</v>
      </c>
      <c r="X16" s="5">
        <v>10232.530000000001</v>
      </c>
      <c r="Z16" s="52">
        <v>6.79</v>
      </c>
      <c r="AA16" s="43" t="s">
        <v>392</v>
      </c>
      <c r="AB16" s="2">
        <v>5</v>
      </c>
      <c r="AF16" s="46">
        <v>490614</v>
      </c>
      <c r="AG16" s="1" t="s">
        <v>534</v>
      </c>
      <c r="AH16" s="27" t="s">
        <v>174</v>
      </c>
      <c r="AI16" s="6" t="s">
        <v>547</v>
      </c>
      <c r="AJ16" s="46" t="s">
        <v>548</v>
      </c>
    </row>
    <row r="17" spans="7:36" x14ac:dyDescent="0.3">
      <c r="G17" s="46">
        <v>483534</v>
      </c>
      <c r="H17" s="39" t="s">
        <v>166</v>
      </c>
      <c r="N17" s="30" t="s">
        <v>392</v>
      </c>
      <c r="O17" s="2">
        <v>4</v>
      </c>
      <c r="Q17" s="30">
        <v>3824</v>
      </c>
      <c r="R17" s="44">
        <v>2.29</v>
      </c>
      <c r="T17" s="44">
        <v>8756.9600000000009</v>
      </c>
      <c r="X17" s="5">
        <v>8756.9600000000009</v>
      </c>
      <c r="Z17" s="52">
        <v>2.29</v>
      </c>
      <c r="AA17" s="43" t="s">
        <v>392</v>
      </c>
      <c r="AB17" s="2">
        <v>4</v>
      </c>
      <c r="AF17" s="46">
        <v>483534</v>
      </c>
      <c r="AG17" s="1" t="s">
        <v>534</v>
      </c>
      <c r="AH17" s="27" t="s">
        <v>166</v>
      </c>
      <c r="AI17" s="6" t="s">
        <v>547</v>
      </c>
      <c r="AJ17" s="46" t="s">
        <v>548</v>
      </c>
    </row>
    <row r="18" spans="7:36" x14ac:dyDescent="0.3">
      <c r="G18" s="46">
        <v>24466561</v>
      </c>
      <c r="H18" s="39" t="s">
        <v>381</v>
      </c>
      <c r="N18" s="30" t="s">
        <v>396</v>
      </c>
      <c r="O18" s="2">
        <v>100</v>
      </c>
      <c r="Q18" s="30">
        <v>663</v>
      </c>
      <c r="R18" s="44">
        <v>13</v>
      </c>
      <c r="T18" s="44">
        <v>8619</v>
      </c>
      <c r="X18" s="5">
        <v>9063.2099999999991</v>
      </c>
      <c r="Z18" s="52">
        <v>13.67</v>
      </c>
      <c r="AA18" s="43" t="s">
        <v>396</v>
      </c>
      <c r="AB18" s="2">
        <v>100</v>
      </c>
      <c r="AF18" s="46">
        <v>24466561</v>
      </c>
      <c r="AG18" s="1" t="s">
        <v>535</v>
      </c>
      <c r="AH18" s="27" t="s">
        <v>381</v>
      </c>
      <c r="AI18" s="6" t="s">
        <v>547</v>
      </c>
      <c r="AJ18" s="46" t="s">
        <v>548</v>
      </c>
    </row>
    <row r="19" spans="7:36" x14ac:dyDescent="0.3">
      <c r="G19" s="46">
        <v>472480</v>
      </c>
      <c r="H19" s="39" t="s">
        <v>153</v>
      </c>
      <c r="N19" s="30" t="s">
        <v>392</v>
      </c>
      <c r="O19" s="2">
        <v>1000</v>
      </c>
      <c r="Q19" s="30">
        <v>2790</v>
      </c>
      <c r="R19" s="44">
        <v>2.89</v>
      </c>
      <c r="T19" s="44">
        <v>8063.1</v>
      </c>
      <c r="X19" s="5">
        <v>4436.1000000000004</v>
      </c>
      <c r="Z19" s="52">
        <v>1.59</v>
      </c>
      <c r="AA19" s="43" t="s">
        <v>392</v>
      </c>
      <c r="AB19" s="2">
        <v>1000</v>
      </c>
      <c r="AF19" s="46">
        <v>472480</v>
      </c>
      <c r="AG19" s="1" t="s">
        <v>534</v>
      </c>
      <c r="AH19" s="27" t="s">
        <v>153</v>
      </c>
      <c r="AI19" s="6" t="s">
        <v>547</v>
      </c>
      <c r="AJ19" s="46" t="s">
        <v>549</v>
      </c>
    </row>
    <row r="20" spans="7:36" x14ac:dyDescent="0.3">
      <c r="G20" s="46">
        <v>2072216</v>
      </c>
      <c r="H20" s="39" t="s">
        <v>320</v>
      </c>
      <c r="N20" s="30" t="s">
        <v>392</v>
      </c>
      <c r="O20" s="2">
        <v>5</v>
      </c>
      <c r="Q20" s="30">
        <v>4801</v>
      </c>
      <c r="R20" s="44">
        <v>1.64</v>
      </c>
      <c r="T20" s="44">
        <v>7873.6399999999994</v>
      </c>
      <c r="X20" s="5">
        <v>7873.6399999999994</v>
      </c>
      <c r="Z20" s="52">
        <v>1.64</v>
      </c>
      <c r="AA20" s="43" t="s">
        <v>392</v>
      </c>
      <c r="AB20" s="2">
        <v>5</v>
      </c>
      <c r="AF20" s="46">
        <v>2072216</v>
      </c>
      <c r="AG20" s="1" t="s">
        <v>534</v>
      </c>
      <c r="AH20" s="27" t="s">
        <v>320</v>
      </c>
      <c r="AI20" s="6" t="s">
        <v>547</v>
      </c>
      <c r="AJ20" s="46" t="s">
        <v>548</v>
      </c>
    </row>
    <row r="21" spans="7:36" x14ac:dyDescent="0.3">
      <c r="G21" s="46">
        <v>125252</v>
      </c>
      <c r="H21" s="39" t="s">
        <v>76</v>
      </c>
      <c r="N21" s="30" t="s">
        <v>392</v>
      </c>
      <c r="O21" s="2">
        <v>4</v>
      </c>
      <c r="Q21" s="30">
        <v>1600</v>
      </c>
      <c r="R21" s="44">
        <v>4.68</v>
      </c>
      <c r="T21" s="44">
        <v>7488</v>
      </c>
      <c r="X21" s="5">
        <v>7712</v>
      </c>
      <c r="Z21" s="52">
        <v>4.82</v>
      </c>
      <c r="AA21" s="43" t="s">
        <v>392</v>
      </c>
      <c r="AB21" s="2">
        <v>4</v>
      </c>
      <c r="AF21" s="46">
        <v>125252</v>
      </c>
      <c r="AG21" s="1" t="s">
        <v>534</v>
      </c>
      <c r="AH21" s="27" t="s">
        <v>76</v>
      </c>
      <c r="AI21" s="6" t="s">
        <v>547</v>
      </c>
      <c r="AJ21" s="46" t="s">
        <v>548</v>
      </c>
    </row>
    <row r="22" spans="7:36" x14ac:dyDescent="0.3">
      <c r="G22" s="46">
        <v>565771</v>
      </c>
      <c r="H22" s="39" t="s">
        <v>214</v>
      </c>
      <c r="N22" s="30" t="s">
        <v>392</v>
      </c>
      <c r="O22" s="2">
        <v>6</v>
      </c>
      <c r="Q22" s="30">
        <v>1514</v>
      </c>
      <c r="R22" s="44">
        <v>4.4000000000000004</v>
      </c>
      <c r="T22" s="44">
        <v>6661.6</v>
      </c>
      <c r="X22" s="5">
        <v>7055.24</v>
      </c>
      <c r="Z22" s="52">
        <v>4.66</v>
      </c>
      <c r="AA22" s="43" t="s">
        <v>392</v>
      </c>
      <c r="AB22" s="2">
        <v>6</v>
      </c>
      <c r="AF22" s="46">
        <v>565771</v>
      </c>
      <c r="AG22" s="1" t="s">
        <v>534</v>
      </c>
      <c r="AH22" s="27" t="s">
        <v>214</v>
      </c>
      <c r="AI22" s="6" t="s">
        <v>547</v>
      </c>
      <c r="AJ22" s="46" t="s">
        <v>548</v>
      </c>
    </row>
    <row r="23" spans="7:36" x14ac:dyDescent="0.3">
      <c r="G23" s="46">
        <v>324791</v>
      </c>
      <c r="H23" s="39" t="s">
        <v>123</v>
      </c>
      <c r="N23" s="30" t="s">
        <v>397</v>
      </c>
      <c r="O23" s="2">
        <v>5000</v>
      </c>
      <c r="Q23" s="30">
        <v>165</v>
      </c>
      <c r="R23" s="44">
        <v>39.79</v>
      </c>
      <c r="T23" s="44">
        <v>6565.3499999999995</v>
      </c>
      <c r="X23" s="5">
        <v>5661.1500000000005</v>
      </c>
      <c r="Z23" s="52">
        <v>34.31</v>
      </c>
      <c r="AA23" s="43" t="s">
        <v>397</v>
      </c>
      <c r="AB23" s="2">
        <v>5000</v>
      </c>
      <c r="AF23" s="46">
        <v>324791</v>
      </c>
      <c r="AG23" s="1" t="s">
        <v>538</v>
      </c>
      <c r="AH23" s="27" t="s">
        <v>123</v>
      </c>
      <c r="AI23" s="6" t="s">
        <v>547</v>
      </c>
      <c r="AJ23" s="46" t="s">
        <v>549</v>
      </c>
    </row>
    <row r="24" spans="7:36" x14ac:dyDescent="0.3">
      <c r="G24" s="46">
        <v>813409</v>
      </c>
      <c r="H24" s="39" t="s">
        <v>262</v>
      </c>
      <c r="N24" s="30" t="s">
        <v>393</v>
      </c>
      <c r="O24" s="2">
        <v>1</v>
      </c>
      <c r="Q24" s="30">
        <v>732</v>
      </c>
      <c r="R24" s="44">
        <v>7.6</v>
      </c>
      <c r="T24" s="44">
        <v>5563.2</v>
      </c>
      <c r="X24" s="5">
        <v>5563.2</v>
      </c>
      <c r="Z24" s="52">
        <v>7.6</v>
      </c>
      <c r="AA24" s="43" t="s">
        <v>393</v>
      </c>
      <c r="AB24" s="2">
        <v>1</v>
      </c>
      <c r="AF24" s="46">
        <v>813409</v>
      </c>
      <c r="AG24" s="1" t="s">
        <v>540</v>
      </c>
      <c r="AH24" s="27" t="s">
        <v>262</v>
      </c>
      <c r="AI24" s="6" t="s">
        <v>547</v>
      </c>
      <c r="AJ24" s="46" t="s">
        <v>548</v>
      </c>
    </row>
    <row r="25" spans="7:36" x14ac:dyDescent="0.3">
      <c r="G25" s="46">
        <v>602158</v>
      </c>
      <c r="H25" s="39" t="s">
        <v>225</v>
      </c>
      <c r="N25" s="30" t="s">
        <v>395</v>
      </c>
      <c r="O25" s="2">
        <v>1</v>
      </c>
      <c r="Q25" s="30">
        <v>2637</v>
      </c>
      <c r="R25" s="44">
        <v>2.0099999999999998</v>
      </c>
      <c r="T25" s="44">
        <v>5300.37</v>
      </c>
      <c r="X25" s="5">
        <v>5564.07</v>
      </c>
      <c r="Z25" s="52">
        <v>2.11</v>
      </c>
      <c r="AA25" s="43" t="s">
        <v>395</v>
      </c>
      <c r="AB25" s="2">
        <v>1</v>
      </c>
      <c r="AF25" s="46">
        <v>602158</v>
      </c>
      <c r="AG25" s="1" t="s">
        <v>534</v>
      </c>
      <c r="AH25" s="27" t="s">
        <v>225</v>
      </c>
      <c r="AI25" s="6" t="s">
        <v>547</v>
      </c>
      <c r="AJ25" s="46" t="s">
        <v>548</v>
      </c>
    </row>
    <row r="26" spans="7:36" x14ac:dyDescent="0.3">
      <c r="G26" s="46">
        <v>807687</v>
      </c>
      <c r="H26" s="39" t="s">
        <v>257</v>
      </c>
      <c r="N26" s="30" t="s">
        <v>397</v>
      </c>
      <c r="O26" s="2">
        <v>4</v>
      </c>
      <c r="Q26" s="30">
        <v>75</v>
      </c>
      <c r="R26" s="44">
        <v>69.989999999999995</v>
      </c>
      <c r="T26" s="44">
        <v>5249.25</v>
      </c>
      <c r="X26" s="5">
        <v>5249.25</v>
      </c>
      <c r="Z26" s="52" t="s">
        <v>488</v>
      </c>
      <c r="AA26" s="43" t="s">
        <v>397</v>
      </c>
      <c r="AB26" s="2">
        <v>4</v>
      </c>
      <c r="AF26" s="46">
        <v>807687</v>
      </c>
      <c r="AG26" s="1" t="s">
        <v>534</v>
      </c>
      <c r="AH26" s="27" t="s">
        <v>257</v>
      </c>
      <c r="AI26" s="6" t="s">
        <v>547</v>
      </c>
      <c r="AJ26" s="46" t="s">
        <v>550</v>
      </c>
    </row>
    <row r="27" spans="7:36" x14ac:dyDescent="0.3">
      <c r="G27" s="46">
        <v>916389</v>
      </c>
      <c r="H27" s="39" t="s">
        <v>288</v>
      </c>
      <c r="N27" s="30" t="s">
        <v>392</v>
      </c>
      <c r="O27" s="2">
        <v>300</v>
      </c>
      <c r="Q27" s="30">
        <v>810</v>
      </c>
      <c r="R27" s="44">
        <v>6.29</v>
      </c>
      <c r="T27" s="44">
        <v>5094.8999999999996</v>
      </c>
      <c r="X27" s="5">
        <v>1620</v>
      </c>
      <c r="Z27" s="52">
        <v>2</v>
      </c>
      <c r="AA27" s="43" t="s">
        <v>392</v>
      </c>
      <c r="AB27" s="2">
        <v>300</v>
      </c>
      <c r="AF27" s="46">
        <v>916389</v>
      </c>
      <c r="AG27" s="1" t="s">
        <v>534</v>
      </c>
      <c r="AH27" s="27" t="s">
        <v>288</v>
      </c>
      <c r="AI27" s="6" t="s">
        <v>547</v>
      </c>
      <c r="AJ27" s="46" t="s">
        <v>549</v>
      </c>
    </row>
    <row r="28" spans="7:36" x14ac:dyDescent="0.3">
      <c r="G28" s="46">
        <v>905788</v>
      </c>
      <c r="H28" s="39" t="s">
        <v>285</v>
      </c>
      <c r="N28" s="30" t="s">
        <v>392</v>
      </c>
      <c r="O28" s="2">
        <v>100</v>
      </c>
      <c r="Q28" s="30">
        <v>1497</v>
      </c>
      <c r="R28" s="44">
        <v>3.29</v>
      </c>
      <c r="T28" s="44">
        <v>4925.13</v>
      </c>
      <c r="X28" s="5">
        <v>5149.68</v>
      </c>
      <c r="Z28" s="52">
        <v>3.44</v>
      </c>
      <c r="AA28" s="43" t="s">
        <v>392</v>
      </c>
      <c r="AB28" s="2">
        <v>100</v>
      </c>
      <c r="AF28" s="46">
        <v>905788</v>
      </c>
      <c r="AG28" s="1" t="s">
        <v>534</v>
      </c>
      <c r="AH28" s="27" t="s">
        <v>285</v>
      </c>
      <c r="AI28" s="6" t="s">
        <v>547</v>
      </c>
      <c r="AJ28" s="46" t="s">
        <v>548</v>
      </c>
    </row>
    <row r="29" spans="7:36" x14ac:dyDescent="0.3">
      <c r="G29" s="46">
        <v>180650</v>
      </c>
      <c r="H29" s="39" t="s">
        <v>97</v>
      </c>
      <c r="N29" s="30" t="s">
        <v>397</v>
      </c>
      <c r="O29" s="2">
        <v>20500</v>
      </c>
      <c r="Q29" s="30">
        <v>32</v>
      </c>
      <c r="R29" s="44">
        <v>149.99</v>
      </c>
      <c r="T29" s="44">
        <v>4799.68</v>
      </c>
      <c r="X29" s="5">
        <v>4799.68</v>
      </c>
      <c r="Z29" s="52" t="s">
        <v>432</v>
      </c>
      <c r="AA29" s="43" t="s">
        <v>397</v>
      </c>
      <c r="AB29" s="2">
        <v>20500</v>
      </c>
      <c r="AF29" s="46">
        <v>180650</v>
      </c>
      <c r="AG29" s="1" t="s">
        <v>534</v>
      </c>
      <c r="AH29" s="27" t="s">
        <v>97</v>
      </c>
      <c r="AI29" s="6" t="s">
        <v>547</v>
      </c>
      <c r="AJ29" s="46" t="s">
        <v>550</v>
      </c>
    </row>
    <row r="30" spans="7:36" x14ac:dyDescent="0.3">
      <c r="G30" s="46">
        <v>470369</v>
      </c>
      <c r="H30" s="39" t="s">
        <v>152</v>
      </c>
      <c r="N30" s="30" t="s">
        <v>392</v>
      </c>
      <c r="O30" s="2">
        <v>5</v>
      </c>
      <c r="Q30" s="30">
        <v>621</v>
      </c>
      <c r="R30" s="44">
        <v>7.31</v>
      </c>
      <c r="T30" s="44">
        <v>4539.5099999999993</v>
      </c>
      <c r="X30" s="5">
        <v>4564.3499999999995</v>
      </c>
      <c r="Z30" s="52">
        <v>7.35</v>
      </c>
      <c r="AA30" s="43" t="s">
        <v>392</v>
      </c>
      <c r="AB30" s="2">
        <v>5</v>
      </c>
      <c r="AF30" s="46">
        <v>470369</v>
      </c>
      <c r="AG30" s="1" t="s">
        <v>534</v>
      </c>
      <c r="AH30" s="27" t="s">
        <v>152</v>
      </c>
      <c r="AI30" s="6" t="s">
        <v>547</v>
      </c>
      <c r="AJ30" s="46" t="s">
        <v>548</v>
      </c>
    </row>
    <row r="31" spans="7:36" x14ac:dyDescent="0.3">
      <c r="G31" s="46">
        <v>592836</v>
      </c>
      <c r="H31" s="39" t="s">
        <v>222</v>
      </c>
      <c r="N31" s="30" t="s">
        <v>392</v>
      </c>
      <c r="O31" s="2">
        <v>8</v>
      </c>
      <c r="Q31" s="30">
        <v>352</v>
      </c>
      <c r="R31" s="44">
        <v>12.66</v>
      </c>
      <c r="T31" s="44">
        <v>4456.32</v>
      </c>
      <c r="X31" s="5">
        <v>4417.6000000000004</v>
      </c>
      <c r="Z31" s="52">
        <v>12.55</v>
      </c>
      <c r="AA31" s="43" t="s">
        <v>392</v>
      </c>
      <c r="AB31" s="2">
        <v>8</v>
      </c>
      <c r="AF31" s="46">
        <v>592836</v>
      </c>
      <c r="AG31" s="1" t="s">
        <v>534</v>
      </c>
      <c r="AH31" s="27" t="s">
        <v>222</v>
      </c>
      <c r="AI31" s="6" t="s">
        <v>547</v>
      </c>
      <c r="AJ31" s="46" t="s">
        <v>548</v>
      </c>
    </row>
    <row r="32" spans="7:36" x14ac:dyDescent="0.3">
      <c r="G32" s="46">
        <v>24401542</v>
      </c>
      <c r="H32" s="39" t="s">
        <v>365</v>
      </c>
      <c r="N32" s="30" t="s">
        <v>395</v>
      </c>
      <c r="O32" s="2">
        <v>1</v>
      </c>
      <c r="Q32" s="30">
        <v>786</v>
      </c>
      <c r="R32" s="44">
        <v>5.49</v>
      </c>
      <c r="T32" s="44">
        <v>4315.1400000000003</v>
      </c>
      <c r="X32" s="5">
        <v>4708.1400000000003</v>
      </c>
      <c r="Z32" s="52">
        <v>5.99</v>
      </c>
      <c r="AA32" s="43" t="s">
        <v>395</v>
      </c>
      <c r="AB32" s="2">
        <v>1</v>
      </c>
      <c r="AF32" s="46">
        <v>24401542</v>
      </c>
      <c r="AG32" s="1" t="s">
        <v>542</v>
      </c>
      <c r="AH32" s="27" t="s">
        <v>365</v>
      </c>
      <c r="AI32" s="6" t="s">
        <v>547</v>
      </c>
      <c r="AJ32" s="46" t="s">
        <v>548</v>
      </c>
    </row>
    <row r="33" spans="7:36" x14ac:dyDescent="0.3">
      <c r="G33" s="46">
        <v>505255</v>
      </c>
      <c r="H33" s="39" t="s">
        <v>192</v>
      </c>
      <c r="N33" s="30" t="s">
        <v>395</v>
      </c>
      <c r="O33" s="2">
        <v>1</v>
      </c>
      <c r="Q33" s="30">
        <v>1662</v>
      </c>
      <c r="R33" s="44">
        <v>2.37</v>
      </c>
      <c r="T33" s="44">
        <v>3938.94</v>
      </c>
      <c r="X33" s="5">
        <v>4138.38</v>
      </c>
      <c r="Z33" s="52">
        <v>2.4900000000000002</v>
      </c>
      <c r="AA33" s="43" t="s">
        <v>395</v>
      </c>
      <c r="AB33" s="2">
        <v>1</v>
      </c>
      <c r="AF33" s="46">
        <v>505255</v>
      </c>
      <c r="AG33" s="1" t="s">
        <v>534</v>
      </c>
      <c r="AH33" s="27" t="s">
        <v>192</v>
      </c>
      <c r="AI33" s="6" t="s">
        <v>547</v>
      </c>
      <c r="AJ33" s="46" t="s">
        <v>548</v>
      </c>
    </row>
    <row r="34" spans="7:36" x14ac:dyDescent="0.3">
      <c r="G34" s="46">
        <v>24443474</v>
      </c>
      <c r="H34" s="39" t="s">
        <v>376</v>
      </c>
      <c r="N34" s="30" t="s">
        <v>392</v>
      </c>
      <c r="O34" s="2">
        <v>50</v>
      </c>
      <c r="Q34" s="30">
        <v>4750</v>
      </c>
      <c r="R34" s="44">
        <v>0.79</v>
      </c>
      <c r="T34" s="44">
        <v>3752.5</v>
      </c>
      <c r="X34" s="5">
        <v>3752.5</v>
      </c>
      <c r="Z34" s="52" t="s">
        <v>527</v>
      </c>
      <c r="AA34" s="43" t="s">
        <v>392</v>
      </c>
      <c r="AB34" s="2">
        <v>50</v>
      </c>
      <c r="AF34" s="46">
        <v>24443474</v>
      </c>
      <c r="AG34" s="1" t="s">
        <v>535</v>
      </c>
      <c r="AH34" s="27" t="s">
        <v>376</v>
      </c>
      <c r="AI34" s="6" t="s">
        <v>547</v>
      </c>
      <c r="AJ34" s="46" t="s">
        <v>550</v>
      </c>
    </row>
    <row r="35" spans="7:36" x14ac:dyDescent="0.3">
      <c r="G35" s="46">
        <v>233593</v>
      </c>
      <c r="H35" s="39" t="s">
        <v>111</v>
      </c>
      <c r="N35" s="30" t="s">
        <v>392</v>
      </c>
      <c r="O35" s="2">
        <v>500</v>
      </c>
      <c r="Q35" s="30">
        <v>1417</v>
      </c>
      <c r="R35" s="44">
        <v>2.58</v>
      </c>
      <c r="T35" s="44">
        <v>3655.86</v>
      </c>
      <c r="X35" s="5">
        <v>3499.9900000000002</v>
      </c>
      <c r="Z35" s="52">
        <v>2.4700000000000002</v>
      </c>
      <c r="AA35" s="43" t="s">
        <v>392</v>
      </c>
      <c r="AB35" s="2">
        <v>500</v>
      </c>
      <c r="AF35" s="46">
        <v>233593</v>
      </c>
      <c r="AG35" s="1" t="s">
        <v>534</v>
      </c>
      <c r="AH35" s="27" t="s">
        <v>111</v>
      </c>
      <c r="AI35" s="6" t="s">
        <v>547</v>
      </c>
      <c r="AJ35" s="46" t="s">
        <v>549</v>
      </c>
    </row>
    <row r="36" spans="7:36" x14ac:dyDescent="0.3">
      <c r="G36" s="46">
        <v>490936</v>
      </c>
      <c r="H36" s="39" t="s">
        <v>178</v>
      </c>
      <c r="N36" s="30" t="s">
        <v>398</v>
      </c>
      <c r="O36" s="2">
        <v>500</v>
      </c>
      <c r="Q36" s="30">
        <v>475</v>
      </c>
      <c r="R36" s="44">
        <v>7.35</v>
      </c>
      <c r="T36" s="44">
        <v>3491.25</v>
      </c>
      <c r="X36" s="5">
        <v>2493.75</v>
      </c>
      <c r="Z36" s="52">
        <v>5.25</v>
      </c>
      <c r="AA36" s="43" t="s">
        <v>398</v>
      </c>
      <c r="AB36" s="2">
        <v>500</v>
      </c>
      <c r="AF36" s="46">
        <v>490936</v>
      </c>
      <c r="AG36" s="1" t="s">
        <v>538</v>
      </c>
      <c r="AH36" s="27" t="s">
        <v>178</v>
      </c>
      <c r="AI36" s="6" t="s">
        <v>547</v>
      </c>
      <c r="AJ36" s="46" t="s">
        <v>549</v>
      </c>
    </row>
    <row r="37" spans="7:36" x14ac:dyDescent="0.3">
      <c r="G37" s="46">
        <v>112417</v>
      </c>
      <c r="H37" s="39" t="s">
        <v>65</v>
      </c>
      <c r="N37" s="30" t="s">
        <v>392</v>
      </c>
      <c r="O37" s="2">
        <v>590</v>
      </c>
      <c r="Q37" s="30">
        <v>2567</v>
      </c>
      <c r="R37" s="44">
        <v>1.35</v>
      </c>
      <c r="T37" s="44">
        <v>3465.4500000000003</v>
      </c>
      <c r="X37" s="5">
        <v>3593.7999999999997</v>
      </c>
      <c r="Z37" s="52">
        <v>1.4</v>
      </c>
      <c r="AA37" s="43" t="s">
        <v>392</v>
      </c>
      <c r="AB37" s="2">
        <v>590</v>
      </c>
      <c r="AF37" s="46">
        <v>112417</v>
      </c>
      <c r="AG37" s="1" t="s">
        <v>534</v>
      </c>
      <c r="AH37" s="27" t="s">
        <v>65</v>
      </c>
      <c r="AI37" s="6" t="s">
        <v>547</v>
      </c>
      <c r="AJ37" s="46" t="s">
        <v>548</v>
      </c>
    </row>
    <row r="38" spans="7:36" x14ac:dyDescent="0.3">
      <c r="G38" s="46">
        <v>649280</v>
      </c>
      <c r="H38" s="39" t="s">
        <v>237</v>
      </c>
      <c r="N38" s="30" t="s">
        <v>392</v>
      </c>
      <c r="O38" s="2">
        <v>3</v>
      </c>
      <c r="Q38" s="30">
        <v>454</v>
      </c>
      <c r="R38" s="44">
        <v>6.9</v>
      </c>
      <c r="T38" s="44">
        <v>3132.6000000000004</v>
      </c>
      <c r="X38" s="5">
        <v>3173.46</v>
      </c>
      <c r="Z38" s="52" t="s">
        <v>479</v>
      </c>
      <c r="AA38" s="43" t="s">
        <v>392</v>
      </c>
      <c r="AB38" s="2">
        <v>3</v>
      </c>
      <c r="AF38" s="46">
        <v>649280</v>
      </c>
      <c r="AG38" s="1" t="s">
        <v>534</v>
      </c>
      <c r="AH38" s="27" t="s">
        <v>237</v>
      </c>
      <c r="AI38" s="6" t="s">
        <v>547</v>
      </c>
      <c r="AJ38" s="46" t="s">
        <v>550</v>
      </c>
    </row>
    <row r="39" spans="7:36" x14ac:dyDescent="0.3">
      <c r="G39" s="46">
        <v>31407</v>
      </c>
      <c r="H39" s="39" t="s">
        <v>51</v>
      </c>
      <c r="N39" s="30" t="s">
        <v>393</v>
      </c>
      <c r="O39" s="2">
        <v>1</v>
      </c>
      <c r="Q39" s="30">
        <v>589</v>
      </c>
      <c r="R39" s="44">
        <v>4.6500000000000004</v>
      </c>
      <c r="T39" s="44">
        <v>2738.8500000000004</v>
      </c>
      <c r="X39" s="5">
        <v>3133.48</v>
      </c>
      <c r="Z39" s="52">
        <v>5.32</v>
      </c>
      <c r="AA39" s="43" t="s">
        <v>393</v>
      </c>
      <c r="AB39" s="2">
        <v>1</v>
      </c>
      <c r="AF39" s="46">
        <v>31407</v>
      </c>
      <c r="AG39" s="1" t="s">
        <v>534</v>
      </c>
      <c r="AH39" s="27" t="s">
        <v>51</v>
      </c>
      <c r="AI39" s="6" t="s">
        <v>547</v>
      </c>
      <c r="AJ39" s="46" t="s">
        <v>548</v>
      </c>
    </row>
    <row r="40" spans="7:36" x14ac:dyDescent="0.3">
      <c r="G40" s="46">
        <v>24466562</v>
      </c>
      <c r="H40" s="39" t="s">
        <v>382</v>
      </c>
      <c r="N40" s="30" t="s">
        <v>396</v>
      </c>
      <c r="O40" s="2">
        <v>100</v>
      </c>
      <c r="Q40" s="30">
        <v>208</v>
      </c>
      <c r="R40" s="44">
        <v>13</v>
      </c>
      <c r="T40" s="44">
        <v>2704</v>
      </c>
      <c r="X40" s="5">
        <v>2835.04</v>
      </c>
      <c r="Z40" s="52">
        <v>13.63</v>
      </c>
      <c r="AA40" s="43" t="s">
        <v>396</v>
      </c>
      <c r="AB40" s="2">
        <v>100</v>
      </c>
      <c r="AF40" s="46">
        <v>24466562</v>
      </c>
      <c r="AG40" s="1" t="s">
        <v>535</v>
      </c>
      <c r="AH40" s="27" t="s">
        <v>382</v>
      </c>
      <c r="AI40" s="6" t="s">
        <v>547</v>
      </c>
      <c r="AJ40" s="46" t="s">
        <v>548</v>
      </c>
    </row>
    <row r="41" spans="7:36" x14ac:dyDescent="0.3">
      <c r="G41" s="46">
        <v>247403</v>
      </c>
      <c r="H41" s="39" t="s">
        <v>112</v>
      </c>
      <c r="N41" s="30" t="s">
        <v>392</v>
      </c>
      <c r="O41" s="2">
        <v>10</v>
      </c>
      <c r="Q41" s="30">
        <v>564</v>
      </c>
      <c r="R41" s="44">
        <v>4.41</v>
      </c>
      <c r="T41" s="44">
        <v>2487.2400000000002</v>
      </c>
      <c r="X41" s="5">
        <v>2549.2799999999997</v>
      </c>
      <c r="Z41" s="52">
        <v>4.5199999999999996</v>
      </c>
      <c r="AA41" s="43" t="s">
        <v>392</v>
      </c>
      <c r="AB41" s="2">
        <v>10</v>
      </c>
      <c r="AF41" s="46">
        <v>247403</v>
      </c>
      <c r="AG41" s="1" t="s">
        <v>534</v>
      </c>
      <c r="AH41" s="27" t="s">
        <v>112</v>
      </c>
      <c r="AI41" s="6" t="s">
        <v>547</v>
      </c>
      <c r="AJ41" s="46" t="s">
        <v>548</v>
      </c>
    </row>
    <row r="42" spans="7:36" x14ac:dyDescent="0.3">
      <c r="G42" s="46">
        <v>592837</v>
      </c>
      <c r="H42" s="39" t="s">
        <v>223</v>
      </c>
      <c r="N42" s="30" t="s">
        <v>392</v>
      </c>
      <c r="O42" s="2">
        <v>4</v>
      </c>
      <c r="Q42" s="30">
        <v>239</v>
      </c>
      <c r="R42" s="44">
        <v>10.210000000000001</v>
      </c>
      <c r="T42" s="44">
        <v>2440.19</v>
      </c>
      <c r="X42" s="5">
        <v>2590.7599999999998</v>
      </c>
      <c r="Z42" s="52">
        <v>10.84</v>
      </c>
      <c r="AA42" s="43" t="s">
        <v>392</v>
      </c>
      <c r="AB42" s="2">
        <v>4</v>
      </c>
      <c r="AF42" s="46">
        <v>592837</v>
      </c>
      <c r="AG42" s="1" t="s">
        <v>534</v>
      </c>
      <c r="AH42" s="27" t="s">
        <v>223</v>
      </c>
      <c r="AI42" s="6" t="s">
        <v>547</v>
      </c>
      <c r="AJ42" s="46" t="s">
        <v>548</v>
      </c>
    </row>
    <row r="43" spans="7:36" x14ac:dyDescent="0.3">
      <c r="G43" s="46">
        <v>121715</v>
      </c>
      <c r="H43" s="39" t="s">
        <v>69</v>
      </c>
      <c r="N43" s="30" t="s">
        <v>395</v>
      </c>
      <c r="O43" s="2">
        <v>1</v>
      </c>
      <c r="Q43" s="30">
        <v>796</v>
      </c>
      <c r="R43" s="44">
        <v>2.93</v>
      </c>
      <c r="T43" s="44">
        <v>2332.2800000000002</v>
      </c>
      <c r="X43" s="5">
        <v>2547.2000000000003</v>
      </c>
      <c r="Z43" s="52">
        <v>3.2</v>
      </c>
      <c r="AA43" s="43" t="s">
        <v>395</v>
      </c>
      <c r="AB43" s="2">
        <v>1</v>
      </c>
      <c r="AF43" s="46">
        <v>121715</v>
      </c>
      <c r="AG43" s="1" t="s">
        <v>534</v>
      </c>
      <c r="AH43" s="27" t="s">
        <v>69</v>
      </c>
      <c r="AI43" s="6" t="s">
        <v>547</v>
      </c>
      <c r="AJ43" s="46" t="s">
        <v>548</v>
      </c>
    </row>
    <row r="44" spans="7:36" x14ac:dyDescent="0.3">
      <c r="G44" s="46">
        <v>511378</v>
      </c>
      <c r="H44" s="39" t="s">
        <v>195</v>
      </c>
      <c r="N44" s="30" t="s">
        <v>392</v>
      </c>
      <c r="O44" s="2">
        <v>200</v>
      </c>
      <c r="Q44" s="30">
        <v>3281</v>
      </c>
      <c r="R44" s="44">
        <v>0.69</v>
      </c>
      <c r="T44" s="44">
        <v>2263.89</v>
      </c>
      <c r="X44" s="5">
        <v>2887.28</v>
      </c>
      <c r="Z44" s="52">
        <v>0.88</v>
      </c>
      <c r="AA44" s="43" t="s">
        <v>392</v>
      </c>
      <c r="AB44" s="2">
        <v>200</v>
      </c>
      <c r="AF44" s="46">
        <v>511378</v>
      </c>
      <c r="AG44" s="1" t="s">
        <v>534</v>
      </c>
      <c r="AH44" s="27" t="s">
        <v>195</v>
      </c>
      <c r="AI44" s="6" t="s">
        <v>547</v>
      </c>
      <c r="AJ44" s="46" t="s">
        <v>548</v>
      </c>
    </row>
    <row r="45" spans="7:36" x14ac:dyDescent="0.3">
      <c r="G45" s="46">
        <v>490947</v>
      </c>
      <c r="H45" s="39" t="s">
        <v>180</v>
      </c>
      <c r="N45" s="30" t="s">
        <v>398</v>
      </c>
      <c r="O45" s="2">
        <v>500</v>
      </c>
      <c r="Q45" s="30">
        <v>344</v>
      </c>
      <c r="R45" s="44">
        <v>6.46</v>
      </c>
      <c r="T45" s="44">
        <v>2222.2399999999998</v>
      </c>
      <c r="X45" s="5">
        <v>1806</v>
      </c>
      <c r="Z45" s="52">
        <v>5.25</v>
      </c>
      <c r="AA45" s="43" t="s">
        <v>398</v>
      </c>
      <c r="AB45" s="2">
        <v>500</v>
      </c>
      <c r="AF45" s="46">
        <v>490947</v>
      </c>
      <c r="AG45" s="1" t="s">
        <v>538</v>
      </c>
      <c r="AH45" s="27" t="s">
        <v>180</v>
      </c>
      <c r="AI45" s="6" t="s">
        <v>547</v>
      </c>
      <c r="AJ45" s="46" t="s">
        <v>549</v>
      </c>
    </row>
    <row r="46" spans="7:36" x14ac:dyDescent="0.3">
      <c r="G46" s="46">
        <v>1847331</v>
      </c>
      <c r="H46" s="39" t="s">
        <v>313</v>
      </c>
      <c r="N46" s="30" t="s">
        <v>395</v>
      </c>
      <c r="O46" s="2">
        <v>1</v>
      </c>
      <c r="Q46" s="30">
        <v>18</v>
      </c>
      <c r="R46" s="44">
        <v>122.8</v>
      </c>
      <c r="T46" s="44">
        <v>2210.4</v>
      </c>
      <c r="X46" s="5">
        <v>1699.3799999999999</v>
      </c>
      <c r="Z46" s="52" t="s">
        <v>507</v>
      </c>
      <c r="AA46" s="43" t="s">
        <v>395</v>
      </c>
      <c r="AB46" s="2">
        <v>1</v>
      </c>
      <c r="AF46" s="46">
        <v>1847331</v>
      </c>
      <c r="AG46" s="1" t="s">
        <v>537</v>
      </c>
      <c r="AH46" s="27" t="s">
        <v>313</v>
      </c>
      <c r="AI46" s="6" t="s">
        <v>547</v>
      </c>
      <c r="AJ46" s="46" t="s">
        <v>549</v>
      </c>
    </row>
    <row r="47" spans="7:36" x14ac:dyDescent="0.3">
      <c r="G47" s="46">
        <v>1804211</v>
      </c>
      <c r="H47" s="39" t="s">
        <v>311</v>
      </c>
      <c r="N47" s="30" t="s">
        <v>392</v>
      </c>
      <c r="O47" s="2">
        <v>100</v>
      </c>
      <c r="Q47" s="30">
        <v>245</v>
      </c>
      <c r="R47" s="44">
        <v>8.94</v>
      </c>
      <c r="T47" s="44">
        <v>2190.2999999999997</v>
      </c>
      <c r="X47" s="5">
        <v>2280.9500000000003</v>
      </c>
      <c r="Z47" s="52">
        <v>9.31</v>
      </c>
      <c r="AA47" s="43" t="s">
        <v>392</v>
      </c>
      <c r="AB47" s="2">
        <v>100</v>
      </c>
      <c r="AF47" s="46">
        <v>1804211</v>
      </c>
      <c r="AG47" s="1" t="s">
        <v>534</v>
      </c>
      <c r="AH47" s="27" t="s">
        <v>311</v>
      </c>
      <c r="AI47" s="6" t="s">
        <v>547</v>
      </c>
      <c r="AJ47" s="46" t="s">
        <v>548</v>
      </c>
    </row>
    <row r="48" spans="7:36" x14ac:dyDescent="0.3">
      <c r="G48" s="46">
        <v>184482</v>
      </c>
      <c r="H48" s="39" t="s">
        <v>99</v>
      </c>
      <c r="N48" s="30" t="s">
        <v>399</v>
      </c>
      <c r="O48" s="2">
        <v>40</v>
      </c>
      <c r="Q48" s="30">
        <v>1</v>
      </c>
      <c r="R48" s="44">
        <v>2185.9899999999998</v>
      </c>
      <c r="T48" s="44">
        <v>2185.9899999999998</v>
      </c>
      <c r="X48" s="5">
        <v>2185.9899999999998</v>
      </c>
      <c r="Z48" s="52" t="s">
        <v>434</v>
      </c>
      <c r="AA48" s="43" t="s">
        <v>399</v>
      </c>
      <c r="AB48" s="2">
        <v>40</v>
      </c>
      <c r="AF48" s="46">
        <v>184482</v>
      </c>
      <c r="AG48" s="1" t="s">
        <v>538</v>
      </c>
      <c r="AH48" s="27" t="s">
        <v>99</v>
      </c>
      <c r="AI48" s="6" t="s">
        <v>547</v>
      </c>
      <c r="AJ48" s="46" t="s">
        <v>550</v>
      </c>
    </row>
    <row r="49" spans="7:36" x14ac:dyDescent="0.3">
      <c r="G49" s="46">
        <v>167056</v>
      </c>
      <c r="H49" s="39" t="s">
        <v>94</v>
      </c>
      <c r="N49" s="30" t="s">
        <v>394</v>
      </c>
      <c r="O49" s="2">
        <v>12</v>
      </c>
      <c r="Q49" s="30">
        <v>662</v>
      </c>
      <c r="R49" s="44">
        <v>3.24</v>
      </c>
      <c r="T49" s="44">
        <v>2144.88</v>
      </c>
      <c r="X49" s="5">
        <v>1926.42</v>
      </c>
      <c r="Z49" s="52">
        <v>2.91</v>
      </c>
      <c r="AA49" s="43" t="s">
        <v>394</v>
      </c>
      <c r="AB49" s="2">
        <v>12</v>
      </c>
      <c r="AF49" s="46">
        <v>167056</v>
      </c>
      <c r="AG49" s="1" t="s">
        <v>534</v>
      </c>
      <c r="AH49" s="27" t="s">
        <v>94</v>
      </c>
      <c r="AI49" s="6" t="s">
        <v>547</v>
      </c>
      <c r="AJ49" s="46" t="s">
        <v>549</v>
      </c>
    </row>
    <row r="50" spans="7:36" x14ac:dyDescent="0.3">
      <c r="G50" s="46">
        <v>472593</v>
      </c>
      <c r="H50" s="39" t="s">
        <v>156</v>
      </c>
      <c r="N50" s="30" t="s">
        <v>395</v>
      </c>
      <c r="O50" s="2">
        <v>1</v>
      </c>
      <c r="Q50" s="30">
        <v>1823</v>
      </c>
      <c r="R50" s="44">
        <v>1.1499999999999999</v>
      </c>
      <c r="T50" s="44">
        <v>2096.4499999999998</v>
      </c>
      <c r="X50" s="5">
        <v>2242.29</v>
      </c>
      <c r="Z50" s="52">
        <v>1.23</v>
      </c>
      <c r="AA50" s="43" t="s">
        <v>395</v>
      </c>
      <c r="AB50" s="2">
        <v>1</v>
      </c>
      <c r="AF50" s="46">
        <v>472593</v>
      </c>
      <c r="AG50" s="1" t="s">
        <v>534</v>
      </c>
      <c r="AH50" s="27" t="s">
        <v>156</v>
      </c>
      <c r="AI50" s="6" t="s">
        <v>547</v>
      </c>
      <c r="AJ50" s="46" t="s">
        <v>548</v>
      </c>
    </row>
    <row r="51" spans="7:36" x14ac:dyDescent="0.3">
      <c r="G51" s="46">
        <v>24424326</v>
      </c>
      <c r="H51" s="39" t="s">
        <v>370</v>
      </c>
      <c r="N51" s="30" t="s">
        <v>395</v>
      </c>
      <c r="O51" s="2">
        <v>1</v>
      </c>
      <c r="Q51" s="30">
        <v>600</v>
      </c>
      <c r="R51" s="44">
        <v>3.49</v>
      </c>
      <c r="T51" s="44">
        <v>2094</v>
      </c>
      <c r="X51" s="5">
        <v>1764</v>
      </c>
      <c r="Z51" s="52">
        <v>2.94</v>
      </c>
      <c r="AA51" s="43" t="s">
        <v>395</v>
      </c>
      <c r="AB51" s="2">
        <v>1</v>
      </c>
      <c r="AF51" s="46">
        <v>24424326</v>
      </c>
      <c r="AG51" s="1" t="s">
        <v>539</v>
      </c>
      <c r="AH51" s="27" t="s">
        <v>370</v>
      </c>
      <c r="AI51" s="6" t="s">
        <v>547</v>
      </c>
      <c r="AJ51" s="46" t="s">
        <v>548</v>
      </c>
    </row>
    <row r="52" spans="7:36" x14ac:dyDescent="0.3">
      <c r="G52" s="46">
        <v>2104727</v>
      </c>
      <c r="H52" s="39" t="s">
        <v>322</v>
      </c>
      <c r="N52" s="30" t="s">
        <v>403</v>
      </c>
      <c r="O52" s="2">
        <v>8</v>
      </c>
      <c r="Q52" s="30">
        <v>110</v>
      </c>
      <c r="R52" s="44">
        <v>18.489999999999998</v>
      </c>
      <c r="T52" s="44">
        <v>2033.8999999999999</v>
      </c>
      <c r="X52" s="5">
        <v>2033.8999999999999</v>
      </c>
      <c r="Z52" s="52">
        <v>18.489999999999998</v>
      </c>
      <c r="AA52" s="43" t="s">
        <v>403</v>
      </c>
      <c r="AB52" s="2">
        <v>8</v>
      </c>
      <c r="AF52" s="46">
        <v>2104727</v>
      </c>
      <c r="AG52" s="1" t="s">
        <v>544</v>
      </c>
      <c r="AH52" s="27" t="s">
        <v>322</v>
      </c>
      <c r="AI52" s="6" t="s">
        <v>547</v>
      </c>
      <c r="AJ52" s="46" t="s">
        <v>550</v>
      </c>
    </row>
    <row r="53" spans="7:36" x14ac:dyDescent="0.3">
      <c r="G53" s="46">
        <v>24454841</v>
      </c>
      <c r="H53" s="39" t="s">
        <v>378</v>
      </c>
      <c r="N53" s="30" t="s">
        <v>395</v>
      </c>
      <c r="O53" s="2">
        <v>1</v>
      </c>
      <c r="Q53" s="30">
        <v>1425</v>
      </c>
      <c r="R53" s="44">
        <v>1.29</v>
      </c>
      <c r="T53" s="44">
        <v>1838.25</v>
      </c>
      <c r="X53" s="5">
        <v>1838.25</v>
      </c>
      <c r="Z53" s="53" t="s">
        <v>528</v>
      </c>
      <c r="AA53" s="30" t="s">
        <v>395</v>
      </c>
      <c r="AB53" s="2">
        <v>1</v>
      </c>
      <c r="AF53" s="46">
        <v>24454841</v>
      </c>
      <c r="AG53" s="1" t="s">
        <v>535</v>
      </c>
      <c r="AH53" s="27" t="s">
        <v>378</v>
      </c>
      <c r="AI53" s="6" t="s">
        <v>547</v>
      </c>
      <c r="AJ53" s="46" t="s">
        <v>550</v>
      </c>
    </row>
    <row r="54" spans="7:36" x14ac:dyDescent="0.3">
      <c r="G54" s="46">
        <v>949471</v>
      </c>
      <c r="H54" s="39" t="s">
        <v>299</v>
      </c>
      <c r="N54" s="30" t="s">
        <v>395</v>
      </c>
      <c r="O54" s="2">
        <v>1</v>
      </c>
      <c r="Q54" s="30">
        <v>128</v>
      </c>
      <c r="R54" s="44">
        <v>14.24</v>
      </c>
      <c r="T54" s="44">
        <v>1822.72</v>
      </c>
      <c r="X54" s="5">
        <v>1880.32</v>
      </c>
      <c r="Z54" s="54">
        <v>14.69</v>
      </c>
      <c r="AA54" s="30" t="s">
        <v>395</v>
      </c>
      <c r="AB54" s="2">
        <v>1</v>
      </c>
      <c r="AF54" s="46">
        <v>949471</v>
      </c>
      <c r="AG54" s="1" t="s">
        <v>535</v>
      </c>
      <c r="AH54" s="27" t="s">
        <v>299</v>
      </c>
      <c r="AI54" s="6" t="s">
        <v>547</v>
      </c>
      <c r="AJ54" s="46" t="s">
        <v>548</v>
      </c>
    </row>
    <row r="55" spans="7:36" x14ac:dyDescent="0.3">
      <c r="G55" s="46">
        <v>823973</v>
      </c>
      <c r="H55" s="39" t="s">
        <v>268</v>
      </c>
      <c r="N55" s="30" t="s">
        <v>395</v>
      </c>
      <c r="O55" s="2">
        <v>1</v>
      </c>
      <c r="Q55" s="30">
        <v>539</v>
      </c>
      <c r="R55" s="44">
        <v>2.87</v>
      </c>
      <c r="T55" s="44">
        <v>1546.93</v>
      </c>
      <c r="X55" s="5">
        <v>1191.19</v>
      </c>
      <c r="Z55" s="54">
        <v>2.21</v>
      </c>
      <c r="AA55" s="30" t="s">
        <v>395</v>
      </c>
      <c r="AB55" s="2">
        <v>1</v>
      </c>
      <c r="AF55" s="46">
        <v>823973</v>
      </c>
      <c r="AG55" s="1" t="s">
        <v>534</v>
      </c>
      <c r="AH55" s="27" t="s">
        <v>268</v>
      </c>
      <c r="AI55" s="6" t="s">
        <v>547</v>
      </c>
      <c r="AJ55" s="46" t="s">
        <v>548</v>
      </c>
    </row>
    <row r="56" spans="7:36" x14ac:dyDescent="0.3">
      <c r="G56" s="46">
        <v>116657</v>
      </c>
      <c r="H56" s="39" t="s">
        <v>67</v>
      </c>
      <c r="N56" s="30" t="s">
        <v>396</v>
      </c>
      <c r="O56" s="2">
        <v>100</v>
      </c>
      <c r="Q56" s="30">
        <v>164</v>
      </c>
      <c r="R56" s="44">
        <v>8.65</v>
      </c>
      <c r="T56" s="44">
        <v>1418.6000000000001</v>
      </c>
      <c r="X56" s="5">
        <v>811.80000000000007</v>
      </c>
      <c r="Z56" s="54" t="s">
        <v>419</v>
      </c>
      <c r="AA56" s="30" t="s">
        <v>396</v>
      </c>
      <c r="AB56" s="2">
        <v>100</v>
      </c>
      <c r="AF56" s="46">
        <v>116657</v>
      </c>
      <c r="AG56" s="1" t="s">
        <v>534</v>
      </c>
      <c r="AH56" s="27" t="s">
        <v>67</v>
      </c>
      <c r="AI56" s="6" t="s">
        <v>547</v>
      </c>
      <c r="AJ56" s="46" t="s">
        <v>549</v>
      </c>
    </row>
    <row r="57" spans="7:36" x14ac:dyDescent="0.3">
      <c r="G57" s="46">
        <v>463710</v>
      </c>
      <c r="H57" s="39" t="s">
        <v>148</v>
      </c>
      <c r="N57" s="30" t="s">
        <v>392</v>
      </c>
      <c r="O57" s="2">
        <v>12</v>
      </c>
      <c r="Q57" s="30">
        <v>140</v>
      </c>
      <c r="R57" s="44">
        <v>9.81</v>
      </c>
      <c r="T57" s="44">
        <v>1373.4</v>
      </c>
      <c r="X57" s="5">
        <v>1323</v>
      </c>
      <c r="Z57" s="54">
        <v>9.4499999999999993</v>
      </c>
      <c r="AA57" s="30" t="s">
        <v>392</v>
      </c>
      <c r="AB57" s="2">
        <v>12</v>
      </c>
      <c r="AF57" s="46">
        <v>463710</v>
      </c>
      <c r="AG57" s="1" t="s">
        <v>534</v>
      </c>
      <c r="AH57" s="27" t="s">
        <v>148</v>
      </c>
      <c r="AI57" s="6" t="s">
        <v>547</v>
      </c>
      <c r="AJ57" s="46" t="s">
        <v>548</v>
      </c>
    </row>
    <row r="58" spans="7:36" x14ac:dyDescent="0.3">
      <c r="G58" s="46">
        <v>562925</v>
      </c>
      <c r="H58" s="39" t="s">
        <v>208</v>
      </c>
      <c r="N58" s="30" t="s">
        <v>395</v>
      </c>
      <c r="O58" s="2">
        <v>1</v>
      </c>
      <c r="Q58" s="30">
        <v>337</v>
      </c>
      <c r="R58" s="44">
        <v>4</v>
      </c>
      <c r="T58" s="44">
        <v>1348</v>
      </c>
      <c r="X58" s="5">
        <v>1381.6999999999998</v>
      </c>
      <c r="Z58" s="54">
        <v>4.0999999999999996</v>
      </c>
      <c r="AA58" s="30" t="s">
        <v>395</v>
      </c>
      <c r="AB58" s="2">
        <v>1</v>
      </c>
      <c r="AF58" s="46">
        <v>562925</v>
      </c>
      <c r="AG58" s="1" t="s">
        <v>534</v>
      </c>
      <c r="AH58" s="27" t="s">
        <v>208</v>
      </c>
      <c r="AI58" s="6" t="s">
        <v>547</v>
      </c>
      <c r="AJ58" s="46" t="s">
        <v>548</v>
      </c>
    </row>
    <row r="59" spans="7:36" x14ac:dyDescent="0.3">
      <c r="G59" s="46">
        <v>121772</v>
      </c>
      <c r="H59" s="39" t="s">
        <v>70</v>
      </c>
      <c r="N59" s="30" t="s">
        <v>395</v>
      </c>
      <c r="O59" s="2">
        <v>1</v>
      </c>
      <c r="Q59" s="30">
        <v>729</v>
      </c>
      <c r="R59" s="44">
        <v>1.84</v>
      </c>
      <c r="T59" s="44">
        <v>1341.3600000000001</v>
      </c>
      <c r="X59" s="5">
        <v>2070.3599999999997</v>
      </c>
      <c r="Z59" s="54">
        <v>2.84</v>
      </c>
      <c r="AA59" s="30" t="s">
        <v>395</v>
      </c>
      <c r="AB59" s="2">
        <v>1</v>
      </c>
      <c r="AF59" s="46">
        <v>121772</v>
      </c>
      <c r="AG59" s="1" t="s">
        <v>534</v>
      </c>
      <c r="AH59" s="27" t="s">
        <v>70</v>
      </c>
      <c r="AI59" s="6" t="s">
        <v>547</v>
      </c>
      <c r="AJ59" s="46" t="s">
        <v>548</v>
      </c>
    </row>
    <row r="60" spans="7:36" x14ac:dyDescent="0.3">
      <c r="G60" s="46">
        <v>642736</v>
      </c>
      <c r="H60" s="39" t="s">
        <v>234</v>
      </c>
      <c r="N60" s="30" t="s">
        <v>394</v>
      </c>
      <c r="O60" s="2">
        <v>12</v>
      </c>
      <c r="Q60" s="30">
        <v>150</v>
      </c>
      <c r="R60" s="44">
        <v>8.68</v>
      </c>
      <c r="T60" s="44">
        <v>1302</v>
      </c>
      <c r="X60" s="5">
        <v>960</v>
      </c>
      <c r="Z60" s="54" t="s">
        <v>478</v>
      </c>
      <c r="AA60" s="30" t="s">
        <v>394</v>
      </c>
      <c r="AB60" s="2">
        <v>12</v>
      </c>
      <c r="AF60" s="46">
        <v>642736</v>
      </c>
      <c r="AG60" s="1" t="s">
        <v>534</v>
      </c>
      <c r="AH60" s="27" t="s">
        <v>234</v>
      </c>
      <c r="AI60" s="6" t="s">
        <v>547</v>
      </c>
      <c r="AJ60" s="46" t="s">
        <v>549</v>
      </c>
    </row>
    <row r="61" spans="7:36" x14ac:dyDescent="0.3">
      <c r="G61" s="46">
        <v>166389</v>
      </c>
      <c r="H61" s="39" t="s">
        <v>92</v>
      </c>
      <c r="N61" s="30" t="s">
        <v>392</v>
      </c>
      <c r="O61" s="2">
        <v>1008</v>
      </c>
      <c r="Q61" s="30">
        <v>129</v>
      </c>
      <c r="R61" s="44">
        <v>9.15</v>
      </c>
      <c r="T61" s="44">
        <v>1180.3500000000001</v>
      </c>
      <c r="X61" s="5">
        <v>344.43</v>
      </c>
      <c r="Z61" s="54">
        <v>2.67</v>
      </c>
      <c r="AA61" s="30" t="s">
        <v>392</v>
      </c>
      <c r="AB61" s="2">
        <v>1008</v>
      </c>
      <c r="AF61" s="46">
        <v>166389</v>
      </c>
      <c r="AG61" s="1" t="s">
        <v>534</v>
      </c>
      <c r="AH61" s="27" t="s">
        <v>92</v>
      </c>
      <c r="AI61" s="6" t="s">
        <v>547</v>
      </c>
      <c r="AJ61" s="46" t="s">
        <v>549</v>
      </c>
    </row>
    <row r="62" spans="7:36" x14ac:dyDescent="0.3">
      <c r="G62" s="46">
        <v>2677747</v>
      </c>
      <c r="H62" s="39" t="s">
        <v>335</v>
      </c>
      <c r="N62" s="30" t="s">
        <v>395</v>
      </c>
      <c r="O62" s="2">
        <v>1</v>
      </c>
      <c r="Q62" s="30">
        <v>4</v>
      </c>
      <c r="R62" s="44">
        <v>294.52</v>
      </c>
      <c r="T62" s="44">
        <v>1178.08</v>
      </c>
      <c r="X62" s="5">
        <v>1586.64</v>
      </c>
      <c r="Z62" s="54">
        <v>396.66</v>
      </c>
      <c r="AA62" s="30" t="s">
        <v>395</v>
      </c>
      <c r="AB62" s="2">
        <v>1</v>
      </c>
      <c r="AF62" s="46">
        <v>2677747</v>
      </c>
      <c r="AG62" s="1" t="s">
        <v>541</v>
      </c>
      <c r="AH62" s="27" t="s">
        <v>335</v>
      </c>
      <c r="AI62" s="6" t="s">
        <v>547</v>
      </c>
      <c r="AJ62" s="46" t="s">
        <v>548</v>
      </c>
    </row>
    <row r="63" spans="7:36" x14ac:dyDescent="0.3">
      <c r="G63" s="46">
        <v>578544</v>
      </c>
      <c r="H63" s="39" t="s">
        <v>218</v>
      </c>
      <c r="N63" s="30" t="s">
        <v>396</v>
      </c>
      <c r="O63" s="2">
        <v>25</v>
      </c>
      <c r="Q63" s="30">
        <v>178</v>
      </c>
      <c r="R63" s="44">
        <v>6.55</v>
      </c>
      <c r="T63" s="44">
        <v>1165.8999999999999</v>
      </c>
      <c r="X63" s="5">
        <v>1100.04</v>
      </c>
      <c r="Z63" s="54">
        <v>6.18</v>
      </c>
      <c r="AA63" s="30" t="s">
        <v>396</v>
      </c>
      <c r="AB63" s="2">
        <v>25</v>
      </c>
      <c r="AF63" s="46">
        <v>578544</v>
      </c>
      <c r="AG63" s="1" t="s">
        <v>534</v>
      </c>
      <c r="AH63" s="27" t="s">
        <v>218</v>
      </c>
      <c r="AI63" s="6" t="s">
        <v>547</v>
      </c>
      <c r="AJ63" s="46" t="s">
        <v>548</v>
      </c>
    </row>
    <row r="64" spans="7:36" x14ac:dyDescent="0.3">
      <c r="G64" s="46">
        <v>102435</v>
      </c>
      <c r="H64" s="39" t="s">
        <v>60</v>
      </c>
      <c r="N64" s="30" t="s">
        <v>392</v>
      </c>
      <c r="O64" s="2">
        <v>12</v>
      </c>
      <c r="Q64" s="30">
        <v>43</v>
      </c>
      <c r="R64" s="44">
        <v>27.11</v>
      </c>
      <c r="T64" s="44">
        <v>1165.73</v>
      </c>
      <c r="X64" s="5">
        <v>1188.0899999999999</v>
      </c>
      <c r="Z64" s="55">
        <v>27.63</v>
      </c>
      <c r="AA64" s="30" t="s">
        <v>392</v>
      </c>
      <c r="AB64" s="2">
        <v>12</v>
      </c>
      <c r="AF64" s="46">
        <v>102435</v>
      </c>
      <c r="AG64" s="1" t="s">
        <v>535</v>
      </c>
      <c r="AH64" s="27" t="s">
        <v>60</v>
      </c>
      <c r="AI64" s="6" t="s">
        <v>547</v>
      </c>
      <c r="AJ64" s="57" t="s">
        <v>548</v>
      </c>
    </row>
    <row r="65" spans="7:36" x14ac:dyDescent="0.3">
      <c r="G65" s="46">
        <v>24396755</v>
      </c>
      <c r="H65" s="39" t="s">
        <v>359</v>
      </c>
      <c r="N65" s="30" t="s">
        <v>392</v>
      </c>
      <c r="O65" s="2">
        <v>4</v>
      </c>
      <c r="Q65" s="30">
        <v>3</v>
      </c>
      <c r="R65" s="44">
        <v>388.45</v>
      </c>
      <c r="T65" s="44">
        <v>1165.3499999999999</v>
      </c>
      <c r="X65" s="5">
        <v>1165.3499999999999</v>
      </c>
      <c r="Z65" s="54">
        <v>388.45</v>
      </c>
      <c r="AA65" s="30" t="s">
        <v>392</v>
      </c>
      <c r="AB65" s="2">
        <v>4</v>
      </c>
      <c r="AF65" s="46">
        <v>24396755</v>
      </c>
      <c r="AG65" s="1" t="s">
        <v>537</v>
      </c>
      <c r="AH65" s="27" t="s">
        <v>359</v>
      </c>
      <c r="AI65" s="6" t="s">
        <v>547</v>
      </c>
      <c r="AJ65" s="46" t="s">
        <v>548</v>
      </c>
    </row>
    <row r="66" spans="7:36" x14ac:dyDescent="0.3">
      <c r="G66" s="46">
        <v>807874</v>
      </c>
      <c r="H66" s="39" t="s">
        <v>258</v>
      </c>
      <c r="N66" s="30" t="s">
        <v>394</v>
      </c>
      <c r="O66" s="2">
        <v>12</v>
      </c>
      <c r="Q66" s="30">
        <v>98</v>
      </c>
      <c r="R66" s="44">
        <v>11.79</v>
      </c>
      <c r="T66" s="44">
        <v>1155.4199999999998</v>
      </c>
      <c r="X66" s="5">
        <v>1155.4199999999998</v>
      </c>
      <c r="Z66" s="54" t="s">
        <v>489</v>
      </c>
      <c r="AA66" s="30" t="s">
        <v>394</v>
      </c>
      <c r="AB66" s="2">
        <v>12</v>
      </c>
      <c r="AF66" s="46">
        <v>807874</v>
      </c>
      <c r="AG66" s="1" t="s">
        <v>534</v>
      </c>
      <c r="AH66" s="27" t="s">
        <v>258</v>
      </c>
      <c r="AI66" s="6" t="s">
        <v>547</v>
      </c>
      <c r="AJ66" s="46" t="s">
        <v>550</v>
      </c>
    </row>
    <row r="67" spans="7:36" x14ac:dyDescent="0.3">
      <c r="G67" s="46">
        <v>24399007</v>
      </c>
      <c r="H67" s="39" t="s">
        <v>363</v>
      </c>
      <c r="N67" s="30" t="s">
        <v>395</v>
      </c>
      <c r="O67" s="2">
        <v>1</v>
      </c>
      <c r="Q67" s="30">
        <v>11</v>
      </c>
      <c r="R67" s="44">
        <v>104.4</v>
      </c>
      <c r="T67" s="44">
        <v>1148.4000000000001</v>
      </c>
      <c r="X67" s="5">
        <v>1148.4000000000001</v>
      </c>
      <c r="Z67" s="54">
        <v>104.4</v>
      </c>
      <c r="AA67" s="30" t="s">
        <v>395</v>
      </c>
      <c r="AB67" s="2">
        <v>1</v>
      </c>
      <c r="AF67" s="46">
        <v>24399007</v>
      </c>
      <c r="AG67" s="1" t="s">
        <v>537</v>
      </c>
      <c r="AH67" s="27" t="s">
        <v>363</v>
      </c>
      <c r="AI67" s="6" t="s">
        <v>547</v>
      </c>
      <c r="AJ67" s="46" t="s">
        <v>548</v>
      </c>
    </row>
    <row r="68" spans="7:36" x14ac:dyDescent="0.3">
      <c r="G68" s="46">
        <v>512215</v>
      </c>
      <c r="H68" s="39" t="s">
        <v>196</v>
      </c>
      <c r="N68" s="30" t="s">
        <v>397</v>
      </c>
      <c r="O68" s="2">
        <v>2500</v>
      </c>
      <c r="Q68" s="30">
        <v>17</v>
      </c>
      <c r="R68" s="44">
        <v>63.6</v>
      </c>
      <c r="T68" s="44">
        <v>1081.2</v>
      </c>
      <c r="X68" s="5">
        <v>773.67</v>
      </c>
      <c r="Z68" s="54">
        <v>45.51</v>
      </c>
      <c r="AA68" s="30" t="s">
        <v>397</v>
      </c>
      <c r="AB68" s="2">
        <v>2500</v>
      </c>
      <c r="AF68" s="46">
        <v>512215</v>
      </c>
      <c r="AG68" s="1" t="s">
        <v>538</v>
      </c>
      <c r="AH68" s="27" t="s">
        <v>196</v>
      </c>
      <c r="AI68" s="6" t="s">
        <v>547</v>
      </c>
      <c r="AJ68" s="46" t="s">
        <v>549</v>
      </c>
    </row>
    <row r="69" spans="7:36" x14ac:dyDescent="0.3">
      <c r="G69" s="46">
        <v>641607</v>
      </c>
      <c r="H69" s="39" t="s">
        <v>233</v>
      </c>
      <c r="N69" s="30" t="s">
        <v>396</v>
      </c>
      <c r="O69" s="2">
        <v>8</v>
      </c>
      <c r="Q69" s="30">
        <v>720</v>
      </c>
      <c r="R69" s="44">
        <v>1.48</v>
      </c>
      <c r="T69" s="44">
        <v>1065.5999999999999</v>
      </c>
      <c r="X69" s="5">
        <v>1461.6</v>
      </c>
      <c r="Z69" s="54">
        <v>2.0299999999999998</v>
      </c>
      <c r="AA69" s="30" t="s">
        <v>396</v>
      </c>
      <c r="AB69" s="2">
        <v>8</v>
      </c>
      <c r="AF69" s="46">
        <v>641607</v>
      </c>
      <c r="AG69" s="1" t="s">
        <v>534</v>
      </c>
      <c r="AH69" s="27" t="s">
        <v>233</v>
      </c>
      <c r="AI69" s="6" t="s">
        <v>547</v>
      </c>
      <c r="AJ69" s="46" t="s">
        <v>548</v>
      </c>
    </row>
    <row r="70" spans="7:36" x14ac:dyDescent="0.3">
      <c r="G70" s="46">
        <v>24398984</v>
      </c>
      <c r="H70" s="39" t="s">
        <v>360</v>
      </c>
      <c r="N70" s="30" t="s">
        <v>395</v>
      </c>
      <c r="O70" s="2">
        <v>1</v>
      </c>
      <c r="Q70" s="30">
        <v>13</v>
      </c>
      <c r="R70" s="44">
        <v>80.650000000000006</v>
      </c>
      <c r="T70" s="44">
        <v>1048.45</v>
      </c>
      <c r="X70" s="5">
        <v>1048.45</v>
      </c>
      <c r="Z70" s="54">
        <v>80.650000000000006</v>
      </c>
      <c r="AA70" s="30" t="s">
        <v>395</v>
      </c>
      <c r="AB70" s="2">
        <v>1</v>
      </c>
      <c r="AF70" s="46">
        <v>24398984</v>
      </c>
      <c r="AG70" s="1" t="s">
        <v>537</v>
      </c>
      <c r="AH70" s="27" t="s">
        <v>360</v>
      </c>
      <c r="AI70" s="6" t="s">
        <v>547</v>
      </c>
      <c r="AJ70" s="46" t="s">
        <v>548</v>
      </c>
    </row>
    <row r="71" spans="7:36" x14ac:dyDescent="0.3">
      <c r="G71" s="46">
        <v>2051686</v>
      </c>
      <c r="H71" s="39" t="s">
        <v>318</v>
      </c>
      <c r="N71" s="30" t="s">
        <v>392</v>
      </c>
      <c r="O71" s="2">
        <v>50</v>
      </c>
      <c r="Q71" s="30">
        <v>7</v>
      </c>
      <c r="R71" s="44">
        <v>147.18</v>
      </c>
      <c r="T71" s="44">
        <v>1030.26</v>
      </c>
      <c r="X71" s="5">
        <v>1198.75</v>
      </c>
      <c r="Z71" s="54">
        <v>171.25</v>
      </c>
      <c r="AA71" s="30" t="s">
        <v>392</v>
      </c>
      <c r="AB71" s="2">
        <v>50</v>
      </c>
      <c r="AF71" s="46">
        <v>2051686</v>
      </c>
      <c r="AG71" s="1" t="s">
        <v>539</v>
      </c>
      <c r="AH71" s="27" t="s">
        <v>318</v>
      </c>
      <c r="AI71" s="6" t="s">
        <v>547</v>
      </c>
      <c r="AJ71" s="46" t="s">
        <v>548</v>
      </c>
    </row>
    <row r="72" spans="7:36" x14ac:dyDescent="0.3">
      <c r="G72" s="46">
        <v>639673</v>
      </c>
      <c r="H72" s="39" t="s">
        <v>232</v>
      </c>
      <c r="N72" s="30" t="s">
        <v>394</v>
      </c>
      <c r="O72" s="2">
        <v>12</v>
      </c>
      <c r="Q72" s="30">
        <v>50</v>
      </c>
      <c r="R72" s="44">
        <v>20.21</v>
      </c>
      <c r="T72" s="44">
        <v>1010.5</v>
      </c>
      <c r="X72" s="5">
        <v>1099.5</v>
      </c>
      <c r="Z72" s="54">
        <v>21.99</v>
      </c>
      <c r="AA72" s="30" t="s">
        <v>394</v>
      </c>
      <c r="AB72" s="2">
        <v>12</v>
      </c>
      <c r="AF72" s="46">
        <v>639673</v>
      </c>
      <c r="AG72" s="1" t="s">
        <v>534</v>
      </c>
      <c r="AH72" s="27" t="s">
        <v>232</v>
      </c>
      <c r="AI72" s="6" t="s">
        <v>547</v>
      </c>
      <c r="AJ72" s="46" t="s">
        <v>548</v>
      </c>
    </row>
    <row r="73" spans="7:36" x14ac:dyDescent="0.3">
      <c r="G73" s="46">
        <v>894616</v>
      </c>
      <c r="H73" s="39" t="s">
        <v>281</v>
      </c>
      <c r="N73" s="30" t="s">
        <v>392</v>
      </c>
      <c r="O73" s="2">
        <v>8</v>
      </c>
      <c r="Q73" s="30">
        <v>132</v>
      </c>
      <c r="R73" s="44">
        <v>7.63</v>
      </c>
      <c r="T73" s="44">
        <v>1007.16</v>
      </c>
      <c r="X73" s="5">
        <v>1094.28</v>
      </c>
      <c r="Z73" s="54">
        <v>8.2899999999999991</v>
      </c>
      <c r="AA73" s="30" t="s">
        <v>392</v>
      </c>
      <c r="AB73" s="2">
        <v>8</v>
      </c>
      <c r="AF73" s="46">
        <v>894616</v>
      </c>
      <c r="AG73" s="1" t="s">
        <v>534</v>
      </c>
      <c r="AH73" s="27" t="s">
        <v>281</v>
      </c>
      <c r="AI73" s="6" t="s">
        <v>547</v>
      </c>
      <c r="AJ73" s="46" t="s">
        <v>548</v>
      </c>
    </row>
    <row r="74" spans="7:36" x14ac:dyDescent="0.3">
      <c r="G74" s="46">
        <v>274795</v>
      </c>
      <c r="H74" s="39" t="s">
        <v>116</v>
      </c>
      <c r="N74" s="30" t="s">
        <v>392</v>
      </c>
      <c r="O74" s="2">
        <v>4</v>
      </c>
      <c r="Q74" s="30">
        <v>205</v>
      </c>
      <c r="R74" s="44">
        <v>4.6900000000000004</v>
      </c>
      <c r="T74" s="44">
        <v>961.45</v>
      </c>
      <c r="X74" s="5">
        <v>725.7</v>
      </c>
      <c r="Z74" s="54">
        <v>3.54</v>
      </c>
      <c r="AA74" s="30" t="s">
        <v>392</v>
      </c>
      <c r="AB74" s="2">
        <v>4</v>
      </c>
      <c r="AF74" s="46">
        <v>274795</v>
      </c>
      <c r="AG74" s="1" t="s">
        <v>534</v>
      </c>
      <c r="AH74" s="27" t="s">
        <v>116</v>
      </c>
      <c r="AI74" s="6" t="s">
        <v>547</v>
      </c>
      <c r="AJ74" s="46" t="s">
        <v>548</v>
      </c>
    </row>
    <row r="75" spans="7:36" x14ac:dyDescent="0.3">
      <c r="G75" s="46">
        <v>2452744</v>
      </c>
      <c r="H75" s="39" t="s">
        <v>326</v>
      </c>
      <c r="N75" s="30" t="s">
        <v>395</v>
      </c>
      <c r="O75" s="2">
        <v>1</v>
      </c>
      <c r="Q75" s="30">
        <v>100</v>
      </c>
      <c r="R75" s="44">
        <v>9.49</v>
      </c>
      <c r="T75" s="44">
        <v>949</v>
      </c>
      <c r="X75" s="5">
        <v>949</v>
      </c>
      <c r="Z75" s="54" t="s">
        <v>513</v>
      </c>
      <c r="AA75" s="30" t="s">
        <v>395</v>
      </c>
      <c r="AB75" s="2">
        <v>1</v>
      </c>
      <c r="AF75" s="46">
        <v>2452744</v>
      </c>
      <c r="AG75" s="1" t="s">
        <v>539</v>
      </c>
      <c r="AH75" s="27" t="s">
        <v>326</v>
      </c>
      <c r="AI75" s="6" t="s">
        <v>547</v>
      </c>
      <c r="AJ75" s="46" t="s">
        <v>550</v>
      </c>
    </row>
    <row r="76" spans="7:36" x14ac:dyDescent="0.3">
      <c r="G76" s="46">
        <v>24398985</v>
      </c>
      <c r="H76" s="39" t="s">
        <v>361</v>
      </c>
      <c r="N76" s="30" t="s">
        <v>395</v>
      </c>
      <c r="O76" s="2">
        <v>1</v>
      </c>
      <c r="Q76" s="30">
        <v>9</v>
      </c>
      <c r="R76" s="44">
        <v>104.4</v>
      </c>
      <c r="T76" s="44">
        <v>939.6</v>
      </c>
      <c r="X76" s="5">
        <v>939.6</v>
      </c>
      <c r="Z76" s="54">
        <v>104.4</v>
      </c>
      <c r="AA76" s="30" t="s">
        <v>395</v>
      </c>
      <c r="AB76" s="2">
        <v>1</v>
      </c>
      <c r="AF76" s="46">
        <v>24398985</v>
      </c>
      <c r="AG76" s="1" t="s">
        <v>537</v>
      </c>
      <c r="AH76" s="27" t="s">
        <v>361</v>
      </c>
      <c r="AI76" s="6" t="s">
        <v>547</v>
      </c>
      <c r="AJ76" s="46" t="s">
        <v>548</v>
      </c>
    </row>
    <row r="77" spans="7:36" x14ac:dyDescent="0.3">
      <c r="G77" s="46">
        <v>300525</v>
      </c>
      <c r="H77" s="39" t="s">
        <v>121</v>
      </c>
      <c r="N77" s="30" t="s">
        <v>396</v>
      </c>
      <c r="O77" s="2">
        <v>12</v>
      </c>
      <c r="Q77" s="30">
        <v>500</v>
      </c>
      <c r="R77" s="44">
        <v>1.84</v>
      </c>
      <c r="T77" s="44">
        <v>920</v>
      </c>
      <c r="X77" s="5">
        <v>810</v>
      </c>
      <c r="Z77" s="54">
        <v>1.62</v>
      </c>
      <c r="AA77" s="30" t="s">
        <v>396</v>
      </c>
      <c r="AB77" s="2">
        <v>12</v>
      </c>
      <c r="AF77" s="46">
        <v>300525</v>
      </c>
      <c r="AG77" s="1" t="s">
        <v>534</v>
      </c>
      <c r="AH77" s="27" t="s">
        <v>121</v>
      </c>
      <c r="AI77" s="6" t="s">
        <v>547</v>
      </c>
      <c r="AJ77" s="46" t="s">
        <v>548</v>
      </c>
    </row>
    <row r="78" spans="7:36" x14ac:dyDescent="0.3">
      <c r="G78" s="46">
        <v>124826</v>
      </c>
      <c r="H78" s="39" t="s">
        <v>75</v>
      </c>
      <c r="N78" s="30" t="s">
        <v>394</v>
      </c>
      <c r="O78" s="2">
        <v>12</v>
      </c>
      <c r="Q78" s="30">
        <v>71</v>
      </c>
      <c r="R78" s="44">
        <v>12.83</v>
      </c>
      <c r="T78" s="44">
        <v>910.93</v>
      </c>
      <c r="X78" s="5">
        <v>755.44</v>
      </c>
      <c r="Z78" s="54" t="s">
        <v>423</v>
      </c>
      <c r="AA78" s="30" t="s">
        <v>394</v>
      </c>
      <c r="AB78" s="2">
        <v>12</v>
      </c>
      <c r="AF78" s="46">
        <v>124826</v>
      </c>
      <c r="AG78" s="1" t="s">
        <v>534</v>
      </c>
      <c r="AH78" s="27" t="s">
        <v>75</v>
      </c>
      <c r="AI78" s="6" t="s">
        <v>547</v>
      </c>
      <c r="AJ78" s="46" t="s">
        <v>549</v>
      </c>
    </row>
    <row r="79" spans="7:36" x14ac:dyDescent="0.3">
      <c r="G79" s="46">
        <v>24474491</v>
      </c>
      <c r="H79" s="39" t="s">
        <v>387</v>
      </c>
      <c r="N79" s="30" t="s">
        <v>404</v>
      </c>
      <c r="O79" s="2">
        <v>100</v>
      </c>
      <c r="Q79" s="30">
        <v>40</v>
      </c>
      <c r="R79" s="44">
        <v>22.7</v>
      </c>
      <c r="T79" s="44">
        <v>908</v>
      </c>
      <c r="X79" s="5">
        <v>908</v>
      </c>
      <c r="Z79" s="54">
        <v>22.7</v>
      </c>
      <c r="AA79" s="30" t="s">
        <v>404</v>
      </c>
      <c r="AB79" s="2">
        <v>100</v>
      </c>
      <c r="AF79" s="46">
        <v>24474491</v>
      </c>
      <c r="AG79" s="1" t="s">
        <v>544</v>
      </c>
      <c r="AH79" s="27" t="s">
        <v>387</v>
      </c>
      <c r="AI79" s="6" t="s">
        <v>547</v>
      </c>
      <c r="AJ79" s="46" t="s">
        <v>550</v>
      </c>
    </row>
    <row r="80" spans="7:36" x14ac:dyDescent="0.3">
      <c r="G80" s="46">
        <v>616224</v>
      </c>
      <c r="H80" s="39" t="s">
        <v>228</v>
      </c>
      <c r="N80" s="30" t="s">
        <v>392</v>
      </c>
      <c r="O80" s="2">
        <v>25</v>
      </c>
      <c r="Q80" s="30">
        <v>835</v>
      </c>
      <c r="R80" s="44">
        <v>1.01</v>
      </c>
      <c r="T80" s="44">
        <v>843.35</v>
      </c>
      <c r="X80" s="5">
        <v>1152.3</v>
      </c>
      <c r="Z80" s="54">
        <v>1.38</v>
      </c>
      <c r="AA80" s="30" t="s">
        <v>392</v>
      </c>
      <c r="AB80" s="2">
        <v>25</v>
      </c>
      <c r="AF80" s="46">
        <v>616224</v>
      </c>
      <c r="AG80" s="1" t="s">
        <v>534</v>
      </c>
      <c r="AH80" s="27" t="s">
        <v>228</v>
      </c>
      <c r="AI80" s="6" t="s">
        <v>547</v>
      </c>
      <c r="AJ80" s="46" t="s">
        <v>548</v>
      </c>
    </row>
    <row r="81" spans="7:36" x14ac:dyDescent="0.3">
      <c r="G81" s="46">
        <v>387512</v>
      </c>
      <c r="H81" s="39" t="s">
        <v>133</v>
      </c>
      <c r="N81" s="30" t="s">
        <v>396</v>
      </c>
      <c r="O81" s="2">
        <v>12</v>
      </c>
      <c r="Q81" s="30">
        <v>906</v>
      </c>
      <c r="R81" s="44">
        <v>0.93</v>
      </c>
      <c r="T81" s="44">
        <v>842.58</v>
      </c>
      <c r="X81" s="5">
        <v>869.76</v>
      </c>
      <c r="Z81" s="54">
        <v>0.96</v>
      </c>
      <c r="AA81" s="30" t="s">
        <v>396</v>
      </c>
      <c r="AB81" s="2">
        <v>12</v>
      </c>
      <c r="AF81" s="46">
        <v>387512</v>
      </c>
      <c r="AG81" s="1" t="s">
        <v>534</v>
      </c>
      <c r="AH81" s="27" t="s">
        <v>133</v>
      </c>
      <c r="AI81" s="6" t="s">
        <v>547</v>
      </c>
      <c r="AJ81" s="46" t="s">
        <v>548</v>
      </c>
    </row>
    <row r="82" spans="7:36" x14ac:dyDescent="0.3">
      <c r="G82" s="46">
        <v>24398991</v>
      </c>
      <c r="H82" s="39" t="s">
        <v>362</v>
      </c>
      <c r="N82" s="30" t="s">
        <v>395</v>
      </c>
      <c r="O82" s="2">
        <v>1</v>
      </c>
      <c r="Q82" s="30">
        <v>8</v>
      </c>
      <c r="R82" s="44">
        <v>104.4</v>
      </c>
      <c r="T82" s="44">
        <v>835.2</v>
      </c>
      <c r="X82" s="5">
        <v>835.2</v>
      </c>
      <c r="Z82" s="54">
        <v>104.4</v>
      </c>
      <c r="AA82" s="30" t="s">
        <v>395</v>
      </c>
      <c r="AB82" s="2">
        <v>1</v>
      </c>
      <c r="AF82" s="46">
        <v>24398991</v>
      </c>
      <c r="AG82" s="1" t="s">
        <v>537</v>
      </c>
      <c r="AH82" s="27" t="s">
        <v>362</v>
      </c>
      <c r="AI82" s="6" t="s">
        <v>547</v>
      </c>
      <c r="AJ82" s="46" t="s">
        <v>548</v>
      </c>
    </row>
    <row r="83" spans="7:36" x14ac:dyDescent="0.3">
      <c r="G83" s="46">
        <v>780510</v>
      </c>
      <c r="H83" s="39" t="s">
        <v>254</v>
      </c>
      <c r="N83" s="30" t="s">
        <v>394</v>
      </c>
      <c r="O83" s="2">
        <v>12</v>
      </c>
      <c r="Q83" s="30">
        <v>82</v>
      </c>
      <c r="R83" s="44">
        <v>9.8699999999999992</v>
      </c>
      <c r="T83" s="44">
        <v>809.33999999999992</v>
      </c>
      <c r="X83" s="5">
        <v>706.02</v>
      </c>
      <c r="Z83" s="54">
        <v>8.61</v>
      </c>
      <c r="AA83" s="30" t="s">
        <v>394</v>
      </c>
      <c r="AB83" s="2">
        <v>12</v>
      </c>
      <c r="AF83" s="46">
        <v>780510</v>
      </c>
      <c r="AG83" s="1" t="s">
        <v>534</v>
      </c>
      <c r="AH83" s="27" t="s">
        <v>254</v>
      </c>
      <c r="AI83" s="6" t="s">
        <v>547</v>
      </c>
      <c r="AJ83" s="46" t="s">
        <v>548</v>
      </c>
    </row>
    <row r="84" spans="7:36" x14ac:dyDescent="0.3">
      <c r="G84" s="46">
        <v>515916</v>
      </c>
      <c r="H84" s="39" t="s">
        <v>199</v>
      </c>
      <c r="N84" s="30" t="s">
        <v>396</v>
      </c>
      <c r="O84" s="2">
        <v>250</v>
      </c>
      <c r="Q84" s="30">
        <v>153</v>
      </c>
      <c r="R84" s="44">
        <v>5.13</v>
      </c>
      <c r="T84" s="44">
        <v>784.89</v>
      </c>
      <c r="X84" s="5">
        <v>1406.07</v>
      </c>
      <c r="Z84" s="54">
        <v>9.19</v>
      </c>
      <c r="AA84" s="30" t="s">
        <v>396</v>
      </c>
      <c r="AB84" s="2">
        <v>250</v>
      </c>
      <c r="AF84" s="46">
        <v>515916</v>
      </c>
      <c r="AG84" s="1" t="s">
        <v>534</v>
      </c>
      <c r="AH84" s="27" t="s">
        <v>199</v>
      </c>
      <c r="AI84" s="6" t="s">
        <v>547</v>
      </c>
      <c r="AJ84" s="46" t="s">
        <v>548</v>
      </c>
    </row>
    <row r="85" spans="7:36" x14ac:dyDescent="0.3">
      <c r="G85" s="46">
        <v>436632</v>
      </c>
      <c r="H85" s="39" t="s">
        <v>141</v>
      </c>
      <c r="N85" s="30" t="s">
        <v>395</v>
      </c>
      <c r="O85" s="2">
        <v>1</v>
      </c>
      <c r="Q85" s="30">
        <v>18</v>
      </c>
      <c r="R85" s="44">
        <v>42.82</v>
      </c>
      <c r="T85" s="44">
        <v>770.76</v>
      </c>
      <c r="X85" s="5">
        <v>703.43999999999994</v>
      </c>
      <c r="Z85" s="54">
        <v>39.08</v>
      </c>
      <c r="AA85" s="30" t="s">
        <v>395</v>
      </c>
      <c r="AB85" s="2">
        <v>1</v>
      </c>
      <c r="AF85" s="46">
        <v>436632</v>
      </c>
      <c r="AG85" s="1" t="s">
        <v>534</v>
      </c>
      <c r="AH85" s="27" t="s">
        <v>141</v>
      </c>
      <c r="AI85" s="6" t="s">
        <v>547</v>
      </c>
      <c r="AJ85" s="46" t="s">
        <v>548</v>
      </c>
    </row>
    <row r="86" spans="7:36" x14ac:dyDescent="0.3">
      <c r="G86" s="46">
        <v>404985</v>
      </c>
      <c r="H86" s="39" t="s">
        <v>137</v>
      </c>
      <c r="N86" s="30" t="s">
        <v>393</v>
      </c>
      <c r="O86" s="2">
        <v>1</v>
      </c>
      <c r="Q86" s="30">
        <v>165</v>
      </c>
      <c r="R86" s="44">
        <v>4.6500000000000004</v>
      </c>
      <c r="T86" s="44">
        <v>767.25000000000011</v>
      </c>
      <c r="X86" s="5">
        <v>1247.3999999999999</v>
      </c>
      <c r="Z86" s="54">
        <v>7.56</v>
      </c>
      <c r="AA86" s="30" t="s">
        <v>393</v>
      </c>
      <c r="AB86" s="2">
        <v>1</v>
      </c>
      <c r="AF86" s="46">
        <v>404985</v>
      </c>
      <c r="AG86" s="1" t="s">
        <v>534</v>
      </c>
      <c r="AH86" s="27" t="s">
        <v>137</v>
      </c>
      <c r="AI86" s="6" t="s">
        <v>547</v>
      </c>
      <c r="AJ86" s="46" t="s">
        <v>548</v>
      </c>
    </row>
    <row r="87" spans="7:36" x14ac:dyDescent="0.3">
      <c r="G87" s="46">
        <v>806268</v>
      </c>
      <c r="H87" s="39" t="s">
        <v>256</v>
      </c>
      <c r="N87" s="30" t="s">
        <v>392</v>
      </c>
      <c r="O87" s="2">
        <v>100</v>
      </c>
      <c r="Q87" s="30">
        <v>40</v>
      </c>
      <c r="R87" s="44">
        <v>17.920000000000002</v>
      </c>
      <c r="T87" s="44">
        <v>716.80000000000007</v>
      </c>
      <c r="X87" s="5">
        <v>990.40000000000009</v>
      </c>
      <c r="Z87" s="54">
        <v>24.76</v>
      </c>
      <c r="AA87" s="30" t="s">
        <v>392</v>
      </c>
      <c r="AB87" s="2">
        <v>100</v>
      </c>
      <c r="AF87" s="46">
        <v>806268</v>
      </c>
      <c r="AG87" s="1" t="s">
        <v>539</v>
      </c>
      <c r="AH87" s="27" t="s">
        <v>256</v>
      </c>
      <c r="AI87" s="6" t="s">
        <v>547</v>
      </c>
      <c r="AJ87" s="46" t="s">
        <v>548</v>
      </c>
    </row>
    <row r="88" spans="7:36" x14ac:dyDescent="0.3">
      <c r="G88" s="46">
        <v>501155</v>
      </c>
      <c r="H88" s="39" t="s">
        <v>186</v>
      </c>
      <c r="N88" s="30" t="s">
        <v>392</v>
      </c>
      <c r="O88" s="2">
        <v>8</v>
      </c>
      <c r="Q88" s="30">
        <v>108</v>
      </c>
      <c r="R88" s="44">
        <v>6.58</v>
      </c>
      <c r="T88" s="44">
        <v>710.64</v>
      </c>
      <c r="X88" s="5">
        <v>655.56000000000006</v>
      </c>
      <c r="Z88" s="54">
        <v>6.07</v>
      </c>
      <c r="AA88" s="30" t="s">
        <v>392</v>
      </c>
      <c r="AB88" s="2">
        <v>8</v>
      </c>
      <c r="AF88" s="46">
        <v>501155</v>
      </c>
      <c r="AG88" s="1" t="s">
        <v>534</v>
      </c>
      <c r="AH88" s="27" t="s">
        <v>186</v>
      </c>
      <c r="AI88" s="6" t="s">
        <v>547</v>
      </c>
      <c r="AJ88" s="46" t="s">
        <v>548</v>
      </c>
    </row>
    <row r="89" spans="7:36" x14ac:dyDescent="0.3">
      <c r="G89" s="46">
        <v>931434</v>
      </c>
      <c r="H89" s="39" t="s">
        <v>296</v>
      </c>
      <c r="N89" s="30" t="s">
        <v>396</v>
      </c>
      <c r="O89" s="2">
        <v>100</v>
      </c>
      <c r="Q89" s="30">
        <v>40</v>
      </c>
      <c r="R89" s="44">
        <v>17.29</v>
      </c>
      <c r="T89" s="44">
        <v>691.59999999999991</v>
      </c>
      <c r="X89" s="5">
        <v>341.2</v>
      </c>
      <c r="Z89" s="55">
        <v>8.5299999999999994</v>
      </c>
      <c r="AA89" s="30" t="s">
        <v>396</v>
      </c>
      <c r="AB89" s="2">
        <v>100</v>
      </c>
      <c r="AF89" s="46">
        <v>931434</v>
      </c>
      <c r="AG89" s="1" t="s">
        <v>535</v>
      </c>
      <c r="AH89" s="27" t="s">
        <v>296</v>
      </c>
      <c r="AI89" s="6" t="s">
        <v>547</v>
      </c>
      <c r="AJ89" s="57" t="s">
        <v>548</v>
      </c>
    </row>
    <row r="90" spans="7:36" x14ac:dyDescent="0.3">
      <c r="G90" s="46">
        <v>201350</v>
      </c>
      <c r="H90" s="39" t="s">
        <v>102</v>
      </c>
      <c r="N90" s="30" t="s">
        <v>392</v>
      </c>
      <c r="O90" s="2">
        <v>6</v>
      </c>
      <c r="Q90" s="30">
        <v>96</v>
      </c>
      <c r="R90" s="44">
        <v>7.06</v>
      </c>
      <c r="T90" s="44">
        <v>677.76</v>
      </c>
      <c r="X90" s="5">
        <v>677.76</v>
      </c>
      <c r="Z90" s="54">
        <v>7.06</v>
      </c>
      <c r="AA90" s="30" t="s">
        <v>392</v>
      </c>
      <c r="AB90" s="2">
        <v>6</v>
      </c>
      <c r="AF90" s="46">
        <v>201350</v>
      </c>
      <c r="AG90" s="1" t="s">
        <v>534</v>
      </c>
      <c r="AH90" s="27" t="s">
        <v>102</v>
      </c>
      <c r="AI90" s="6" t="s">
        <v>547</v>
      </c>
      <c r="AJ90" s="46" t="s">
        <v>548</v>
      </c>
    </row>
    <row r="91" spans="7:36" x14ac:dyDescent="0.3">
      <c r="G91" s="46">
        <v>515511</v>
      </c>
      <c r="H91" s="39" t="s">
        <v>198</v>
      </c>
      <c r="N91" s="30" t="s">
        <v>397</v>
      </c>
      <c r="O91" s="2">
        <v>30</v>
      </c>
      <c r="Q91" s="30">
        <v>11</v>
      </c>
      <c r="R91" s="44">
        <v>60.42</v>
      </c>
      <c r="T91" s="44">
        <v>664.62</v>
      </c>
      <c r="X91" s="5">
        <v>298.32</v>
      </c>
      <c r="Z91" s="54">
        <v>27.12</v>
      </c>
      <c r="AA91" s="30" t="s">
        <v>397</v>
      </c>
      <c r="AB91" s="2">
        <v>30</v>
      </c>
      <c r="AF91" s="46">
        <v>515511</v>
      </c>
      <c r="AG91" s="1" t="s">
        <v>535</v>
      </c>
      <c r="AH91" s="27" t="s">
        <v>198</v>
      </c>
      <c r="AI91" s="6" t="s">
        <v>547</v>
      </c>
      <c r="AJ91" s="46" t="s">
        <v>549</v>
      </c>
    </row>
    <row r="92" spans="7:36" x14ac:dyDescent="0.3">
      <c r="G92" s="46">
        <v>125401</v>
      </c>
      <c r="H92" s="39" t="s">
        <v>79</v>
      </c>
      <c r="N92" s="30" t="s">
        <v>394</v>
      </c>
      <c r="O92" s="2">
        <v>12</v>
      </c>
      <c r="Q92" s="30">
        <v>80</v>
      </c>
      <c r="R92" s="44">
        <v>8.17</v>
      </c>
      <c r="T92" s="44">
        <v>653.6</v>
      </c>
      <c r="X92" s="5">
        <v>481.59999999999997</v>
      </c>
      <c r="Z92" s="54" t="s">
        <v>424</v>
      </c>
      <c r="AA92" s="30" t="s">
        <v>394</v>
      </c>
      <c r="AB92" s="2">
        <v>12</v>
      </c>
      <c r="AF92" s="46">
        <v>125401</v>
      </c>
      <c r="AG92" s="1" t="s">
        <v>534</v>
      </c>
      <c r="AH92" s="27" t="s">
        <v>79</v>
      </c>
      <c r="AI92" s="6" t="s">
        <v>547</v>
      </c>
      <c r="AJ92" s="46" t="s">
        <v>549</v>
      </c>
    </row>
    <row r="93" spans="7:36" x14ac:dyDescent="0.3">
      <c r="G93" s="46">
        <v>487135</v>
      </c>
      <c r="H93" s="39" t="s">
        <v>169</v>
      </c>
      <c r="N93" s="30" t="s">
        <v>392</v>
      </c>
      <c r="O93" s="2">
        <v>18</v>
      </c>
      <c r="Q93" s="30">
        <v>50</v>
      </c>
      <c r="R93" s="44">
        <v>11.79</v>
      </c>
      <c r="T93" s="44">
        <v>589.5</v>
      </c>
      <c r="X93" s="5">
        <v>164.5</v>
      </c>
      <c r="Z93" s="54">
        <v>3.29</v>
      </c>
      <c r="AA93" s="30" t="s">
        <v>392</v>
      </c>
      <c r="AB93" s="2">
        <v>18</v>
      </c>
      <c r="AF93" s="46">
        <v>487135</v>
      </c>
      <c r="AG93" s="1" t="s">
        <v>534</v>
      </c>
      <c r="AH93" s="27" t="s">
        <v>169</v>
      </c>
      <c r="AI93" s="6" t="s">
        <v>547</v>
      </c>
      <c r="AJ93" s="46" t="s">
        <v>549</v>
      </c>
    </row>
    <row r="94" spans="7:36" x14ac:dyDescent="0.3">
      <c r="G94" s="46">
        <v>112383</v>
      </c>
      <c r="H94" s="39" t="s">
        <v>64</v>
      </c>
      <c r="N94" s="30" t="s">
        <v>395</v>
      </c>
      <c r="O94" s="2">
        <v>1</v>
      </c>
      <c r="Q94" s="30">
        <v>356</v>
      </c>
      <c r="R94" s="44">
        <v>1.65</v>
      </c>
      <c r="T94" s="44">
        <v>587.4</v>
      </c>
      <c r="X94" s="5">
        <v>331.08000000000004</v>
      </c>
      <c r="Z94" s="54">
        <v>0.93</v>
      </c>
      <c r="AA94" s="30" t="s">
        <v>395</v>
      </c>
      <c r="AB94" s="2">
        <v>1</v>
      </c>
      <c r="AF94" s="46">
        <v>112383</v>
      </c>
      <c r="AG94" s="1" t="s">
        <v>534</v>
      </c>
      <c r="AH94" s="27" t="s">
        <v>64</v>
      </c>
      <c r="AI94" s="6" t="s">
        <v>547</v>
      </c>
      <c r="AJ94" s="46" t="s">
        <v>549</v>
      </c>
    </row>
    <row r="95" spans="7:36" x14ac:dyDescent="0.3">
      <c r="G95" s="46">
        <v>467951</v>
      </c>
      <c r="H95" s="39" t="s">
        <v>150</v>
      </c>
      <c r="N95" s="30" t="s">
        <v>392</v>
      </c>
      <c r="O95" s="2">
        <v>6</v>
      </c>
      <c r="Q95" s="30">
        <v>70</v>
      </c>
      <c r="R95" s="44">
        <v>8.2799999999999994</v>
      </c>
      <c r="T95" s="44">
        <v>579.59999999999991</v>
      </c>
      <c r="X95" s="5">
        <v>620.9</v>
      </c>
      <c r="Z95" s="54">
        <v>8.8699999999999992</v>
      </c>
      <c r="AA95" s="30" t="s">
        <v>392</v>
      </c>
      <c r="AB95" s="2">
        <v>6</v>
      </c>
      <c r="AF95" s="46">
        <v>467951</v>
      </c>
      <c r="AG95" s="1" t="s">
        <v>540</v>
      </c>
      <c r="AH95" s="27" t="s">
        <v>150</v>
      </c>
      <c r="AI95" s="6" t="s">
        <v>547</v>
      </c>
      <c r="AJ95" s="46" t="s">
        <v>548</v>
      </c>
    </row>
    <row r="96" spans="7:36" x14ac:dyDescent="0.3">
      <c r="G96" s="46">
        <v>221689</v>
      </c>
      <c r="H96" s="39" t="s">
        <v>106</v>
      </c>
      <c r="N96" s="30" t="s">
        <v>396</v>
      </c>
      <c r="O96" s="2">
        <v>250</v>
      </c>
      <c r="Q96" s="30">
        <v>26</v>
      </c>
      <c r="R96" s="44">
        <v>21.74</v>
      </c>
      <c r="T96" s="44">
        <v>565.24</v>
      </c>
      <c r="X96" s="5">
        <v>601.12</v>
      </c>
      <c r="Z96" s="54">
        <v>23.12</v>
      </c>
      <c r="AA96" s="30" t="s">
        <v>396</v>
      </c>
      <c r="AB96" s="2">
        <v>250</v>
      </c>
      <c r="AF96" s="46">
        <v>221689</v>
      </c>
      <c r="AG96" s="1" t="s">
        <v>534</v>
      </c>
      <c r="AH96" s="27" t="s">
        <v>106</v>
      </c>
      <c r="AI96" s="6" t="s">
        <v>547</v>
      </c>
      <c r="AJ96" s="46" t="s">
        <v>548</v>
      </c>
    </row>
    <row r="97" spans="7:36" x14ac:dyDescent="0.3">
      <c r="G97" s="46">
        <v>2835958</v>
      </c>
      <c r="H97" s="39" t="s">
        <v>340</v>
      </c>
      <c r="N97" s="30" t="s">
        <v>392</v>
      </c>
      <c r="O97" s="2">
        <v>4</v>
      </c>
      <c r="Q97" s="30">
        <v>260</v>
      </c>
      <c r="R97" s="44">
        <v>2.17</v>
      </c>
      <c r="T97" s="44">
        <v>564.19999999999993</v>
      </c>
      <c r="X97" s="5">
        <v>780</v>
      </c>
      <c r="Z97" s="54">
        <v>3</v>
      </c>
      <c r="AA97" s="30" t="s">
        <v>392</v>
      </c>
      <c r="AB97" s="2">
        <v>4</v>
      </c>
      <c r="AF97" s="46">
        <v>2835958</v>
      </c>
      <c r="AG97" s="1" t="s">
        <v>535</v>
      </c>
      <c r="AH97" s="27" t="s">
        <v>340</v>
      </c>
      <c r="AI97" s="6" t="s">
        <v>547</v>
      </c>
      <c r="AJ97" s="46" t="s">
        <v>548</v>
      </c>
    </row>
    <row r="98" spans="7:36" x14ac:dyDescent="0.3">
      <c r="G98" s="46">
        <v>421271</v>
      </c>
      <c r="H98" s="39" t="s">
        <v>139</v>
      </c>
      <c r="N98" s="30" t="s">
        <v>392</v>
      </c>
      <c r="O98" s="2">
        <v>3</v>
      </c>
      <c r="Q98" s="30">
        <v>215</v>
      </c>
      <c r="R98" s="44">
        <v>2.5499999999999998</v>
      </c>
      <c r="T98" s="44">
        <v>548.25</v>
      </c>
      <c r="X98" s="5">
        <v>419.25</v>
      </c>
      <c r="Z98" s="54">
        <v>1.95</v>
      </c>
      <c r="AA98" s="30" t="s">
        <v>392</v>
      </c>
      <c r="AB98" s="2">
        <v>3</v>
      </c>
      <c r="AF98" s="46">
        <v>421271</v>
      </c>
      <c r="AG98" s="1" t="s">
        <v>534</v>
      </c>
      <c r="AH98" s="27" t="s">
        <v>139</v>
      </c>
      <c r="AI98" s="6" t="s">
        <v>547</v>
      </c>
      <c r="AJ98" s="46" t="s">
        <v>548</v>
      </c>
    </row>
    <row r="99" spans="7:36" x14ac:dyDescent="0.3">
      <c r="G99" s="46">
        <v>187021</v>
      </c>
      <c r="H99" s="39" t="s">
        <v>101</v>
      </c>
      <c r="N99" s="30" t="s">
        <v>396</v>
      </c>
      <c r="O99" s="2">
        <v>100</v>
      </c>
      <c r="Q99" s="30">
        <v>23</v>
      </c>
      <c r="R99" s="44">
        <v>23.29</v>
      </c>
      <c r="T99" s="44">
        <v>535.66999999999996</v>
      </c>
      <c r="X99" s="5">
        <v>142.6</v>
      </c>
      <c r="Z99" s="54">
        <v>6.2</v>
      </c>
      <c r="AA99" s="30" t="s">
        <v>396</v>
      </c>
      <c r="AB99" s="2">
        <v>100</v>
      </c>
      <c r="AF99" s="46">
        <v>187021</v>
      </c>
      <c r="AG99" s="1" t="s">
        <v>534</v>
      </c>
      <c r="AH99" s="27" t="s">
        <v>101</v>
      </c>
      <c r="AI99" s="6" t="s">
        <v>547</v>
      </c>
      <c r="AJ99" s="46" t="s">
        <v>549</v>
      </c>
    </row>
    <row r="100" spans="7:36" x14ac:dyDescent="0.3">
      <c r="G100" s="46">
        <v>480119</v>
      </c>
      <c r="H100" s="39" t="s">
        <v>164</v>
      </c>
      <c r="N100" s="30" t="s">
        <v>392</v>
      </c>
      <c r="O100" s="2">
        <v>200</v>
      </c>
      <c r="Q100" s="30">
        <v>141</v>
      </c>
      <c r="R100" s="44">
        <v>3.49</v>
      </c>
      <c r="T100" s="44">
        <v>492.09000000000003</v>
      </c>
      <c r="X100" s="5">
        <v>492.09000000000003</v>
      </c>
      <c r="Z100" s="54" t="s">
        <v>427</v>
      </c>
      <c r="AA100" s="30" t="s">
        <v>392</v>
      </c>
      <c r="AB100" s="2">
        <v>200</v>
      </c>
      <c r="AF100" s="46">
        <v>480119</v>
      </c>
      <c r="AG100" s="1" t="s">
        <v>534</v>
      </c>
      <c r="AH100" s="27" t="s">
        <v>164</v>
      </c>
      <c r="AI100" s="6" t="s">
        <v>547</v>
      </c>
      <c r="AJ100" s="46" t="s">
        <v>550</v>
      </c>
    </row>
    <row r="101" spans="7:36" x14ac:dyDescent="0.3">
      <c r="G101" s="46">
        <v>163444</v>
      </c>
      <c r="H101" s="39" t="s">
        <v>87</v>
      </c>
      <c r="N101" s="30" t="s">
        <v>394</v>
      </c>
      <c r="O101" s="2">
        <v>12</v>
      </c>
      <c r="Q101" s="30">
        <v>63</v>
      </c>
      <c r="R101" s="44">
        <v>7.77</v>
      </c>
      <c r="T101" s="44">
        <v>489.51</v>
      </c>
      <c r="X101" s="5">
        <v>429.66</v>
      </c>
      <c r="Z101" s="54">
        <v>6.82</v>
      </c>
      <c r="AA101" s="30" t="s">
        <v>394</v>
      </c>
      <c r="AB101" s="2">
        <v>12</v>
      </c>
      <c r="AF101" s="46">
        <v>163444</v>
      </c>
      <c r="AG101" s="1" t="s">
        <v>534</v>
      </c>
      <c r="AH101" s="27" t="s">
        <v>87</v>
      </c>
      <c r="AI101" s="6" t="s">
        <v>547</v>
      </c>
      <c r="AJ101" s="46" t="s">
        <v>548</v>
      </c>
    </row>
    <row r="102" spans="7:36" x14ac:dyDescent="0.3">
      <c r="G102" s="46">
        <v>24326301</v>
      </c>
      <c r="H102" s="39" t="s">
        <v>343</v>
      </c>
      <c r="N102" s="30" t="s">
        <v>396</v>
      </c>
      <c r="O102" s="2">
        <v>12</v>
      </c>
      <c r="Q102" s="30">
        <v>93</v>
      </c>
      <c r="R102" s="44">
        <v>5.03</v>
      </c>
      <c r="T102" s="44">
        <v>467.79</v>
      </c>
      <c r="X102" s="5">
        <v>490.10999999999996</v>
      </c>
      <c r="Z102" s="54">
        <v>5.27</v>
      </c>
      <c r="AA102" s="30" t="s">
        <v>396</v>
      </c>
      <c r="AB102" s="2">
        <v>12</v>
      </c>
      <c r="AF102" s="46">
        <v>24326301</v>
      </c>
      <c r="AG102" s="1" t="s">
        <v>534</v>
      </c>
      <c r="AH102" s="27" t="s">
        <v>343</v>
      </c>
      <c r="AI102" s="6" t="s">
        <v>547</v>
      </c>
      <c r="AJ102" s="46" t="s">
        <v>548</v>
      </c>
    </row>
    <row r="103" spans="7:36" x14ac:dyDescent="0.3">
      <c r="G103" s="46">
        <v>356654</v>
      </c>
      <c r="H103" s="39" t="s">
        <v>128</v>
      </c>
      <c r="N103" s="30" t="s">
        <v>392</v>
      </c>
      <c r="O103" s="2">
        <v>2</v>
      </c>
      <c r="Q103" s="30">
        <v>61</v>
      </c>
      <c r="R103" s="44">
        <v>7.59</v>
      </c>
      <c r="T103" s="44">
        <v>462.99</v>
      </c>
      <c r="X103" s="5">
        <v>658.18999999999994</v>
      </c>
      <c r="Z103" s="54">
        <v>10.79</v>
      </c>
      <c r="AA103" s="30" t="s">
        <v>392</v>
      </c>
      <c r="AB103" s="2">
        <v>2</v>
      </c>
      <c r="AF103" s="46">
        <v>356654</v>
      </c>
      <c r="AG103" s="1" t="s">
        <v>539</v>
      </c>
      <c r="AH103" s="27" t="s">
        <v>128</v>
      </c>
      <c r="AI103" s="6" t="s">
        <v>547</v>
      </c>
      <c r="AJ103" s="46" t="s">
        <v>548</v>
      </c>
    </row>
    <row r="104" spans="7:36" x14ac:dyDescent="0.3">
      <c r="G104" s="46">
        <v>490882</v>
      </c>
      <c r="H104" s="39" t="s">
        <v>176</v>
      </c>
      <c r="N104" s="30" t="s">
        <v>392</v>
      </c>
      <c r="O104" s="2">
        <v>250</v>
      </c>
      <c r="Q104" s="30">
        <v>40</v>
      </c>
      <c r="R104" s="44">
        <v>11.56</v>
      </c>
      <c r="T104" s="44">
        <v>462.40000000000003</v>
      </c>
      <c r="X104" s="5">
        <v>513.20000000000005</v>
      </c>
      <c r="Z104" s="54">
        <v>12.83</v>
      </c>
      <c r="AA104" s="30" t="s">
        <v>392</v>
      </c>
      <c r="AB104" s="2">
        <v>250</v>
      </c>
      <c r="AF104" s="46">
        <v>490882</v>
      </c>
      <c r="AG104" s="1" t="s">
        <v>538</v>
      </c>
      <c r="AH104" s="27" t="s">
        <v>176</v>
      </c>
      <c r="AI104" s="6" t="s">
        <v>547</v>
      </c>
      <c r="AJ104" s="46" t="s">
        <v>548</v>
      </c>
    </row>
    <row r="105" spans="7:36" x14ac:dyDescent="0.3">
      <c r="G105" s="46">
        <v>808659</v>
      </c>
      <c r="H105" s="39" t="s">
        <v>260</v>
      </c>
      <c r="N105" s="30" t="s">
        <v>392</v>
      </c>
      <c r="O105" s="2">
        <v>380</v>
      </c>
      <c r="Q105" s="30">
        <v>87</v>
      </c>
      <c r="R105" s="44">
        <v>5.31</v>
      </c>
      <c r="T105" s="44">
        <v>461.96999999999997</v>
      </c>
      <c r="X105" s="5">
        <v>236.64000000000001</v>
      </c>
      <c r="Z105" s="54">
        <v>2.72</v>
      </c>
      <c r="AA105" s="30" t="s">
        <v>392</v>
      </c>
      <c r="AB105" s="2">
        <v>380</v>
      </c>
      <c r="AF105" s="46">
        <v>808659</v>
      </c>
      <c r="AG105" s="1" t="s">
        <v>534</v>
      </c>
      <c r="AH105" s="27" t="s">
        <v>260</v>
      </c>
      <c r="AI105" s="6" t="s">
        <v>547</v>
      </c>
      <c r="AJ105" s="46" t="s">
        <v>549</v>
      </c>
    </row>
    <row r="106" spans="7:36" x14ac:dyDescent="0.3">
      <c r="G106" s="46">
        <v>490887</v>
      </c>
      <c r="H106" s="39" t="s">
        <v>177</v>
      </c>
      <c r="N106" s="30" t="s">
        <v>392</v>
      </c>
      <c r="O106" s="2">
        <v>250</v>
      </c>
      <c r="Q106" s="30">
        <v>45</v>
      </c>
      <c r="R106" s="44">
        <v>8.85</v>
      </c>
      <c r="T106" s="44">
        <v>398.25</v>
      </c>
      <c r="X106" s="5">
        <v>442.8</v>
      </c>
      <c r="Z106" s="54">
        <v>9.84</v>
      </c>
      <c r="AA106" s="30" t="s">
        <v>392</v>
      </c>
      <c r="AB106" s="2">
        <v>250</v>
      </c>
      <c r="AF106" s="46">
        <v>490887</v>
      </c>
      <c r="AG106" s="1" t="s">
        <v>538</v>
      </c>
      <c r="AH106" s="27" t="s">
        <v>177</v>
      </c>
      <c r="AI106" s="6" t="s">
        <v>547</v>
      </c>
      <c r="AJ106" s="46" t="s">
        <v>548</v>
      </c>
    </row>
    <row r="107" spans="7:36" x14ac:dyDescent="0.3">
      <c r="G107" s="46">
        <v>901631</v>
      </c>
      <c r="H107" s="39" t="s">
        <v>283</v>
      </c>
      <c r="N107" s="30" t="s">
        <v>402</v>
      </c>
      <c r="O107" s="2">
        <v>500</v>
      </c>
      <c r="Q107" s="30">
        <v>30</v>
      </c>
      <c r="R107" s="44">
        <v>13.09</v>
      </c>
      <c r="T107" s="44">
        <v>392.7</v>
      </c>
      <c r="X107" s="5">
        <v>392.7</v>
      </c>
      <c r="Z107" s="54">
        <v>13.09</v>
      </c>
      <c r="AA107" s="30" t="s">
        <v>402</v>
      </c>
      <c r="AB107" s="2">
        <v>500</v>
      </c>
      <c r="AF107" s="46">
        <v>901631</v>
      </c>
      <c r="AG107" s="1" t="s">
        <v>538</v>
      </c>
      <c r="AH107" s="27" t="s">
        <v>283</v>
      </c>
      <c r="AI107" s="6" t="s">
        <v>547</v>
      </c>
      <c r="AJ107" s="46" t="s">
        <v>550</v>
      </c>
    </row>
    <row r="108" spans="7:36" x14ac:dyDescent="0.3">
      <c r="G108" s="46">
        <v>326977</v>
      </c>
      <c r="H108" s="39" t="s">
        <v>124</v>
      </c>
      <c r="N108" s="30" t="s">
        <v>392</v>
      </c>
      <c r="O108" s="2">
        <v>100</v>
      </c>
      <c r="Q108" s="30">
        <v>152</v>
      </c>
      <c r="R108" s="44">
        <v>2.4900000000000002</v>
      </c>
      <c r="T108" s="44">
        <v>378.48</v>
      </c>
      <c r="X108" s="5">
        <v>348.08</v>
      </c>
      <c r="Z108" s="54" t="s">
        <v>441</v>
      </c>
      <c r="AA108" s="30" t="s">
        <v>392</v>
      </c>
      <c r="AB108" s="2">
        <v>100</v>
      </c>
      <c r="AF108" s="46">
        <v>326977</v>
      </c>
      <c r="AG108" s="1" t="s">
        <v>534</v>
      </c>
      <c r="AH108" s="27" t="s">
        <v>124</v>
      </c>
      <c r="AI108" s="6" t="s">
        <v>547</v>
      </c>
      <c r="AJ108" s="46" t="s">
        <v>550</v>
      </c>
    </row>
    <row r="109" spans="7:36" x14ac:dyDescent="0.3">
      <c r="G109" s="46">
        <v>186999</v>
      </c>
      <c r="H109" s="39" t="s">
        <v>100</v>
      </c>
      <c r="N109" s="30" t="s">
        <v>396</v>
      </c>
      <c r="O109" s="2">
        <v>100</v>
      </c>
      <c r="Q109" s="30">
        <v>47</v>
      </c>
      <c r="R109" s="44">
        <v>8.0399999999999991</v>
      </c>
      <c r="T109" s="44">
        <v>377.87999999999994</v>
      </c>
      <c r="X109" s="5">
        <v>225.13</v>
      </c>
      <c r="Z109" s="54" t="s">
        <v>435</v>
      </c>
      <c r="AA109" s="30" t="s">
        <v>396</v>
      </c>
      <c r="AB109" s="2">
        <v>100</v>
      </c>
      <c r="AF109" s="46">
        <v>186999</v>
      </c>
      <c r="AG109" s="1" t="s">
        <v>534</v>
      </c>
      <c r="AH109" s="27" t="s">
        <v>100</v>
      </c>
      <c r="AI109" s="6" t="s">
        <v>547</v>
      </c>
      <c r="AJ109" s="46" t="s">
        <v>549</v>
      </c>
    </row>
    <row r="110" spans="7:36" x14ac:dyDescent="0.3">
      <c r="G110" s="46">
        <v>713320</v>
      </c>
      <c r="H110" s="39" t="s">
        <v>245</v>
      </c>
      <c r="N110" s="30" t="s">
        <v>392</v>
      </c>
      <c r="O110" s="2">
        <v>90</v>
      </c>
      <c r="Q110" s="30">
        <v>104</v>
      </c>
      <c r="R110" s="44">
        <v>3.55</v>
      </c>
      <c r="T110" s="44">
        <v>369.2</v>
      </c>
      <c r="X110" s="5">
        <v>495.03999999999996</v>
      </c>
      <c r="Z110" s="54">
        <v>4.76</v>
      </c>
      <c r="AA110" s="30" t="s">
        <v>392</v>
      </c>
      <c r="AB110" s="2">
        <v>90</v>
      </c>
      <c r="AF110" s="46">
        <v>713320</v>
      </c>
      <c r="AG110" s="1" t="s">
        <v>534</v>
      </c>
      <c r="AH110" s="27" t="s">
        <v>245</v>
      </c>
      <c r="AI110" s="6" t="s">
        <v>547</v>
      </c>
      <c r="AJ110" s="46" t="s">
        <v>548</v>
      </c>
    </row>
    <row r="111" spans="7:36" x14ac:dyDescent="0.3">
      <c r="G111" s="46">
        <v>565447</v>
      </c>
      <c r="H111" s="39" t="s">
        <v>213</v>
      </c>
      <c r="N111" s="30" t="s">
        <v>394</v>
      </c>
      <c r="O111" s="2">
        <v>12</v>
      </c>
      <c r="Q111" s="30">
        <v>41</v>
      </c>
      <c r="R111" s="44">
        <v>8.8800000000000008</v>
      </c>
      <c r="T111" s="44">
        <v>364.08000000000004</v>
      </c>
      <c r="X111" s="5">
        <v>170.97</v>
      </c>
      <c r="Z111" s="54">
        <v>4.17</v>
      </c>
      <c r="AA111" s="30" t="s">
        <v>394</v>
      </c>
      <c r="AB111" s="2">
        <v>12</v>
      </c>
      <c r="AF111" s="46">
        <v>565447</v>
      </c>
      <c r="AG111" s="1" t="s">
        <v>534</v>
      </c>
      <c r="AH111" s="27" t="s">
        <v>213</v>
      </c>
      <c r="AI111" s="6" t="s">
        <v>547</v>
      </c>
      <c r="AJ111" s="46" t="s">
        <v>549</v>
      </c>
    </row>
    <row r="112" spans="7:36" x14ac:dyDescent="0.3">
      <c r="G112" s="46">
        <v>562930</v>
      </c>
      <c r="H112" s="39" t="s">
        <v>209</v>
      </c>
      <c r="N112" s="30" t="s">
        <v>392</v>
      </c>
      <c r="O112" s="2">
        <v>5</v>
      </c>
      <c r="Q112" s="30">
        <v>38</v>
      </c>
      <c r="R112" s="44">
        <v>9.58</v>
      </c>
      <c r="T112" s="44">
        <v>364.04</v>
      </c>
      <c r="X112" s="5">
        <v>237.12</v>
      </c>
      <c r="Z112" s="54">
        <v>6.24</v>
      </c>
      <c r="AA112" s="30" t="s">
        <v>392</v>
      </c>
      <c r="AB112" s="2">
        <v>5</v>
      </c>
      <c r="AF112" s="46">
        <v>562930</v>
      </c>
      <c r="AG112" s="1" t="s">
        <v>534</v>
      </c>
      <c r="AH112" s="27" t="s">
        <v>209</v>
      </c>
      <c r="AI112" s="6" t="s">
        <v>547</v>
      </c>
      <c r="AJ112" s="46" t="s">
        <v>549</v>
      </c>
    </row>
    <row r="113" spans="7:36" x14ac:dyDescent="0.3">
      <c r="G113" s="46">
        <v>2051681</v>
      </c>
      <c r="H113" s="39" t="s">
        <v>318</v>
      </c>
      <c r="N113" s="30" t="s">
        <v>392</v>
      </c>
      <c r="O113" s="2">
        <v>25</v>
      </c>
      <c r="Q113" s="30">
        <v>4</v>
      </c>
      <c r="R113" s="44">
        <v>90.99</v>
      </c>
      <c r="T113" s="44">
        <v>363.96</v>
      </c>
      <c r="X113" s="5">
        <v>439.96</v>
      </c>
      <c r="Z113" s="54" t="s">
        <v>510</v>
      </c>
      <c r="AA113" s="30" t="s">
        <v>392</v>
      </c>
      <c r="AB113" s="2">
        <v>25</v>
      </c>
      <c r="AF113" s="46">
        <v>2051681</v>
      </c>
      <c r="AG113" s="1" t="s">
        <v>539</v>
      </c>
      <c r="AH113" s="27" t="s">
        <v>318</v>
      </c>
      <c r="AI113" s="6" t="s">
        <v>547</v>
      </c>
      <c r="AJ113" s="46" t="s">
        <v>550</v>
      </c>
    </row>
    <row r="114" spans="7:36" x14ac:dyDescent="0.3">
      <c r="G114" s="46">
        <v>24376590</v>
      </c>
      <c r="H114" s="39" t="s">
        <v>349</v>
      </c>
      <c r="N114" s="30" t="s">
        <v>403</v>
      </c>
      <c r="O114" s="2">
        <v>4</v>
      </c>
      <c r="Q114" s="30">
        <v>178</v>
      </c>
      <c r="R114" s="44">
        <v>1.99</v>
      </c>
      <c r="T114" s="44">
        <v>354.21999999999997</v>
      </c>
      <c r="X114" s="5">
        <v>354.21999999999997</v>
      </c>
      <c r="Z114" s="54">
        <v>1.99</v>
      </c>
      <c r="AA114" s="30" t="s">
        <v>403</v>
      </c>
      <c r="AB114" s="2">
        <v>4</v>
      </c>
      <c r="AF114" s="46">
        <v>24376590</v>
      </c>
      <c r="AG114" s="1" t="s">
        <v>534</v>
      </c>
      <c r="AH114" s="27" t="s">
        <v>349</v>
      </c>
      <c r="AI114" s="6" t="s">
        <v>547</v>
      </c>
      <c r="AJ114" s="46" t="s">
        <v>550</v>
      </c>
    </row>
    <row r="115" spans="7:36" x14ac:dyDescent="0.3">
      <c r="G115" s="46">
        <v>599531</v>
      </c>
      <c r="H115" s="39" t="s">
        <v>224</v>
      </c>
      <c r="N115" s="30" t="s">
        <v>392</v>
      </c>
      <c r="O115" s="2">
        <v>250</v>
      </c>
      <c r="Q115" s="30">
        <v>23</v>
      </c>
      <c r="R115" s="44">
        <v>14.79</v>
      </c>
      <c r="T115" s="44">
        <v>340.16999999999996</v>
      </c>
      <c r="X115" s="5">
        <v>340.16999999999996</v>
      </c>
      <c r="Z115" s="54" t="s">
        <v>407</v>
      </c>
      <c r="AA115" s="30" t="s">
        <v>392</v>
      </c>
      <c r="AB115" s="2">
        <v>250</v>
      </c>
      <c r="AF115" s="46">
        <v>599531</v>
      </c>
      <c r="AG115" s="1" t="s">
        <v>538</v>
      </c>
      <c r="AH115" s="27" t="s">
        <v>224</v>
      </c>
      <c r="AI115" s="6" t="s">
        <v>547</v>
      </c>
      <c r="AJ115" s="46" t="s">
        <v>550</v>
      </c>
    </row>
    <row r="116" spans="7:36" x14ac:dyDescent="0.3">
      <c r="G116" s="46">
        <v>483535</v>
      </c>
      <c r="H116" s="39" t="s">
        <v>167</v>
      </c>
      <c r="N116" s="30" t="s">
        <v>392</v>
      </c>
      <c r="O116" s="2">
        <v>6</v>
      </c>
      <c r="Q116" s="30">
        <v>43</v>
      </c>
      <c r="R116" s="44">
        <v>7.41</v>
      </c>
      <c r="T116" s="44">
        <v>318.63</v>
      </c>
      <c r="X116" s="5">
        <v>261.44</v>
      </c>
      <c r="Z116" s="54">
        <v>6.08</v>
      </c>
      <c r="AA116" s="30" t="s">
        <v>392</v>
      </c>
      <c r="AB116" s="2">
        <v>6</v>
      </c>
      <c r="AF116" s="46">
        <v>483535</v>
      </c>
      <c r="AG116" s="1" t="s">
        <v>534</v>
      </c>
      <c r="AH116" s="27" t="s">
        <v>167</v>
      </c>
      <c r="AI116" s="6" t="s">
        <v>547</v>
      </c>
      <c r="AJ116" s="46" t="s">
        <v>548</v>
      </c>
    </row>
    <row r="117" spans="7:36" x14ac:dyDescent="0.3">
      <c r="G117" s="46">
        <v>24376662</v>
      </c>
      <c r="H117" s="39" t="s">
        <v>351</v>
      </c>
      <c r="N117" s="30" t="s">
        <v>392</v>
      </c>
      <c r="O117" s="2">
        <v>12</v>
      </c>
      <c r="Q117" s="30">
        <v>63</v>
      </c>
      <c r="R117" s="44">
        <v>4.87</v>
      </c>
      <c r="T117" s="44">
        <v>306.81</v>
      </c>
      <c r="X117" s="5">
        <v>330.75</v>
      </c>
      <c r="Z117" s="54">
        <v>5.25</v>
      </c>
      <c r="AA117" s="30" t="s">
        <v>392</v>
      </c>
      <c r="AB117" s="2">
        <v>12</v>
      </c>
      <c r="AF117" s="46">
        <v>24376662</v>
      </c>
      <c r="AG117" s="1" t="s">
        <v>534</v>
      </c>
      <c r="AH117" s="27" t="s">
        <v>351</v>
      </c>
      <c r="AI117" s="6" t="s">
        <v>547</v>
      </c>
      <c r="AJ117" s="46" t="s">
        <v>548</v>
      </c>
    </row>
    <row r="118" spans="7:36" x14ac:dyDescent="0.3">
      <c r="G118" s="46">
        <v>388723</v>
      </c>
      <c r="H118" s="39" t="s">
        <v>134</v>
      </c>
      <c r="N118" s="30" t="s">
        <v>395</v>
      </c>
      <c r="O118" s="2">
        <v>1</v>
      </c>
      <c r="Q118" s="30">
        <v>54</v>
      </c>
      <c r="R118" s="44">
        <v>5.64</v>
      </c>
      <c r="T118" s="44">
        <v>304.56</v>
      </c>
      <c r="X118" s="5">
        <v>324.53999999999996</v>
      </c>
      <c r="Z118" s="54">
        <v>6.01</v>
      </c>
      <c r="AA118" s="30" t="s">
        <v>395</v>
      </c>
      <c r="AB118" s="2">
        <v>1</v>
      </c>
      <c r="AF118" s="46">
        <v>388723</v>
      </c>
      <c r="AG118" s="1" t="s">
        <v>534</v>
      </c>
      <c r="AH118" s="27" t="s">
        <v>134</v>
      </c>
      <c r="AI118" s="6" t="s">
        <v>547</v>
      </c>
      <c r="AJ118" s="46" t="s">
        <v>548</v>
      </c>
    </row>
    <row r="119" spans="7:36" x14ac:dyDescent="0.3">
      <c r="G119" s="46">
        <v>579868</v>
      </c>
      <c r="H119" s="39" t="s">
        <v>219</v>
      </c>
      <c r="N119" s="30" t="s">
        <v>395</v>
      </c>
      <c r="O119" s="2">
        <v>1</v>
      </c>
      <c r="Q119" s="30">
        <v>1</v>
      </c>
      <c r="R119" s="44">
        <v>299</v>
      </c>
      <c r="T119" s="44">
        <v>299</v>
      </c>
      <c r="X119" s="5">
        <v>299</v>
      </c>
      <c r="Z119" s="54" t="s">
        <v>471</v>
      </c>
      <c r="AA119" s="30" t="s">
        <v>395</v>
      </c>
      <c r="AB119" s="2">
        <v>1</v>
      </c>
      <c r="AF119" s="46">
        <v>579868</v>
      </c>
      <c r="AG119" s="1" t="s">
        <v>539</v>
      </c>
      <c r="AH119" s="27" t="s">
        <v>219</v>
      </c>
      <c r="AI119" s="6" t="s">
        <v>547</v>
      </c>
      <c r="AJ119" s="46" t="s">
        <v>550</v>
      </c>
    </row>
    <row r="120" spans="7:36" x14ac:dyDescent="0.3">
      <c r="G120" s="46">
        <v>247650</v>
      </c>
      <c r="H120" s="39" t="s">
        <v>113</v>
      </c>
      <c r="N120" s="30" t="s">
        <v>396</v>
      </c>
      <c r="O120" s="2">
        <v>500</v>
      </c>
      <c r="Q120" s="30">
        <v>10</v>
      </c>
      <c r="R120" s="44">
        <v>29.36</v>
      </c>
      <c r="T120" s="44">
        <v>293.60000000000002</v>
      </c>
      <c r="X120" s="5">
        <v>329.90000000000003</v>
      </c>
      <c r="Z120" s="54" t="s">
        <v>437</v>
      </c>
      <c r="AA120" s="30" t="s">
        <v>396</v>
      </c>
      <c r="AB120" s="2">
        <v>500</v>
      </c>
      <c r="AF120" s="46">
        <v>247650</v>
      </c>
      <c r="AG120" s="1" t="s">
        <v>534</v>
      </c>
      <c r="AH120" s="27" t="s">
        <v>113</v>
      </c>
      <c r="AI120" s="6" t="s">
        <v>547</v>
      </c>
      <c r="AJ120" s="46" t="s">
        <v>550</v>
      </c>
    </row>
    <row r="121" spans="7:36" x14ac:dyDescent="0.3">
      <c r="G121" s="46">
        <v>523910</v>
      </c>
      <c r="H121" s="39" t="s">
        <v>203</v>
      </c>
      <c r="N121" s="30" t="s">
        <v>393</v>
      </c>
      <c r="O121" s="2">
        <v>1</v>
      </c>
      <c r="Q121" s="30">
        <v>289</v>
      </c>
      <c r="R121" s="44">
        <v>1</v>
      </c>
      <c r="T121" s="44">
        <v>289</v>
      </c>
      <c r="X121" s="5">
        <v>312.12</v>
      </c>
      <c r="Z121" s="54">
        <v>1.08</v>
      </c>
      <c r="AA121" s="30" t="s">
        <v>393</v>
      </c>
      <c r="AB121" s="2">
        <v>1</v>
      </c>
      <c r="AF121" s="46">
        <v>523910</v>
      </c>
      <c r="AG121" s="1" t="s">
        <v>540</v>
      </c>
      <c r="AH121" s="27" t="s">
        <v>203</v>
      </c>
      <c r="AI121" s="6" t="s">
        <v>547</v>
      </c>
      <c r="AJ121" s="46" t="s">
        <v>548</v>
      </c>
    </row>
    <row r="122" spans="7:36" x14ac:dyDescent="0.3">
      <c r="G122" s="46">
        <v>338298</v>
      </c>
      <c r="H122" s="39" t="s">
        <v>126</v>
      </c>
      <c r="N122" s="30" t="s">
        <v>395</v>
      </c>
      <c r="O122" s="2">
        <v>1</v>
      </c>
      <c r="Q122" s="30">
        <v>1</v>
      </c>
      <c r="R122" s="44">
        <v>287.99</v>
      </c>
      <c r="T122" s="44">
        <v>287.99</v>
      </c>
      <c r="X122" s="5">
        <v>287.99</v>
      </c>
      <c r="Z122" s="54" t="s">
        <v>443</v>
      </c>
      <c r="AA122" s="30" t="s">
        <v>395</v>
      </c>
      <c r="AB122" s="2">
        <v>1</v>
      </c>
      <c r="AF122" s="46">
        <v>338298</v>
      </c>
      <c r="AG122" s="1" t="s">
        <v>541</v>
      </c>
      <c r="AH122" s="27" t="s">
        <v>126</v>
      </c>
      <c r="AI122" s="6" t="s">
        <v>547</v>
      </c>
      <c r="AJ122" s="46" t="s">
        <v>550</v>
      </c>
    </row>
    <row r="123" spans="7:36" x14ac:dyDescent="0.3">
      <c r="G123" s="46">
        <v>2491615</v>
      </c>
      <c r="H123" s="39" t="s">
        <v>327</v>
      </c>
      <c r="N123" s="30" t="s">
        <v>395</v>
      </c>
      <c r="O123" s="2">
        <v>1</v>
      </c>
      <c r="Q123" s="30">
        <v>11</v>
      </c>
      <c r="R123" s="44">
        <v>26.1</v>
      </c>
      <c r="T123" s="44">
        <v>287.10000000000002</v>
      </c>
      <c r="X123" s="5">
        <v>258.39</v>
      </c>
      <c r="Z123" s="54" t="s">
        <v>514</v>
      </c>
      <c r="AA123" s="30" t="s">
        <v>395</v>
      </c>
      <c r="AB123" s="2">
        <v>1</v>
      </c>
      <c r="AF123" s="46">
        <v>2491615</v>
      </c>
      <c r="AG123" s="1" t="s">
        <v>542</v>
      </c>
      <c r="AH123" s="27" t="s">
        <v>327</v>
      </c>
      <c r="AI123" s="6" t="s">
        <v>547</v>
      </c>
      <c r="AJ123" s="46" t="s">
        <v>550</v>
      </c>
    </row>
    <row r="124" spans="7:36" x14ac:dyDescent="0.3">
      <c r="G124" s="46">
        <v>233510</v>
      </c>
      <c r="H124" s="39" t="s">
        <v>110</v>
      </c>
      <c r="N124" s="30" t="s">
        <v>392</v>
      </c>
      <c r="O124" s="2">
        <v>500</v>
      </c>
      <c r="Q124" s="30">
        <v>75</v>
      </c>
      <c r="R124" s="44">
        <v>3.72</v>
      </c>
      <c r="T124" s="44">
        <v>279</v>
      </c>
      <c r="X124" s="5">
        <v>343.5</v>
      </c>
      <c r="Z124" s="54">
        <v>4.58</v>
      </c>
      <c r="AA124" s="30" t="s">
        <v>392</v>
      </c>
      <c r="AB124" s="2">
        <v>500</v>
      </c>
      <c r="AF124" s="46">
        <v>233510</v>
      </c>
      <c r="AG124" s="1" t="s">
        <v>534</v>
      </c>
      <c r="AH124" s="27" t="s">
        <v>110</v>
      </c>
      <c r="AI124" s="6" t="s">
        <v>547</v>
      </c>
      <c r="AJ124" s="46" t="s">
        <v>548</v>
      </c>
    </row>
    <row r="125" spans="7:36" x14ac:dyDescent="0.3">
      <c r="G125" s="46">
        <v>887571</v>
      </c>
      <c r="H125" s="39" t="s">
        <v>280</v>
      </c>
      <c r="N125" s="30" t="s">
        <v>395</v>
      </c>
      <c r="O125" s="2">
        <v>1</v>
      </c>
      <c r="Q125" s="30">
        <v>50</v>
      </c>
      <c r="R125" s="44">
        <v>5.14</v>
      </c>
      <c r="T125" s="44">
        <v>257</v>
      </c>
      <c r="X125" s="5">
        <v>164.5</v>
      </c>
      <c r="Z125" s="54" t="s">
        <v>470</v>
      </c>
      <c r="AA125" s="30" t="s">
        <v>395</v>
      </c>
      <c r="AB125" s="2">
        <v>1</v>
      </c>
      <c r="AF125" s="46">
        <v>887571</v>
      </c>
      <c r="AG125" s="1" t="s">
        <v>534</v>
      </c>
      <c r="AH125" s="27" t="s">
        <v>280</v>
      </c>
      <c r="AI125" s="6" t="s">
        <v>547</v>
      </c>
      <c r="AJ125" s="46" t="s">
        <v>550</v>
      </c>
    </row>
    <row r="126" spans="7:36" x14ac:dyDescent="0.3">
      <c r="G126" s="46">
        <v>475715</v>
      </c>
      <c r="H126" s="39" t="s">
        <v>158</v>
      </c>
      <c r="N126" s="30" t="s">
        <v>396</v>
      </c>
      <c r="O126" s="2">
        <v>24</v>
      </c>
      <c r="Q126" s="30">
        <v>80</v>
      </c>
      <c r="R126" s="44">
        <v>3.18</v>
      </c>
      <c r="T126" s="44">
        <v>254.4</v>
      </c>
      <c r="X126" s="5">
        <v>309.60000000000002</v>
      </c>
      <c r="Z126" s="54">
        <v>3.87</v>
      </c>
      <c r="AA126" s="30" t="s">
        <v>396</v>
      </c>
      <c r="AB126" s="2">
        <v>24</v>
      </c>
      <c r="AF126" s="46">
        <v>475715</v>
      </c>
      <c r="AG126" s="1" t="s">
        <v>534</v>
      </c>
      <c r="AH126" s="27" t="s">
        <v>158</v>
      </c>
      <c r="AI126" s="6" t="s">
        <v>547</v>
      </c>
      <c r="AJ126" s="46" t="s">
        <v>548</v>
      </c>
    </row>
    <row r="127" spans="7:36" x14ac:dyDescent="0.3">
      <c r="G127" s="46">
        <v>560830</v>
      </c>
      <c r="H127" s="39" t="s">
        <v>207</v>
      </c>
      <c r="N127" s="30" t="s">
        <v>395</v>
      </c>
      <c r="O127" s="2">
        <v>1</v>
      </c>
      <c r="Q127" s="30">
        <v>204</v>
      </c>
      <c r="R127" s="44">
        <v>1.18</v>
      </c>
      <c r="T127" s="44">
        <v>240.72</v>
      </c>
      <c r="X127" s="5">
        <v>267.24</v>
      </c>
      <c r="Z127" s="54">
        <v>1.31</v>
      </c>
      <c r="AA127" s="30" t="s">
        <v>395</v>
      </c>
      <c r="AB127" s="2">
        <v>1</v>
      </c>
      <c r="AF127" s="46">
        <v>560830</v>
      </c>
      <c r="AG127" s="1" t="s">
        <v>534</v>
      </c>
      <c r="AH127" s="27" t="s">
        <v>207</v>
      </c>
      <c r="AI127" s="6" t="s">
        <v>547</v>
      </c>
      <c r="AJ127" s="46" t="s">
        <v>548</v>
      </c>
    </row>
    <row r="128" spans="7:36" x14ac:dyDescent="0.3">
      <c r="G128" s="46">
        <v>480114</v>
      </c>
      <c r="H128" s="39" t="s">
        <v>162</v>
      </c>
      <c r="N128" s="30" t="s">
        <v>392</v>
      </c>
      <c r="O128" s="2">
        <v>144</v>
      </c>
      <c r="Q128" s="30">
        <v>50</v>
      </c>
      <c r="R128" s="44">
        <v>4.8099999999999996</v>
      </c>
      <c r="T128" s="44">
        <v>240.49999999999997</v>
      </c>
      <c r="X128" s="5">
        <v>256.5</v>
      </c>
      <c r="Z128" s="54">
        <v>5.13</v>
      </c>
      <c r="AA128" s="30" t="s">
        <v>392</v>
      </c>
      <c r="AB128" s="2">
        <v>144</v>
      </c>
      <c r="AF128" s="46">
        <v>480114</v>
      </c>
      <c r="AG128" s="1" t="s">
        <v>534</v>
      </c>
      <c r="AH128" s="27" t="s">
        <v>162</v>
      </c>
      <c r="AI128" s="6" t="s">
        <v>547</v>
      </c>
      <c r="AJ128" s="46" t="s">
        <v>548</v>
      </c>
    </row>
    <row r="129" spans="7:36" x14ac:dyDescent="0.3">
      <c r="G129" s="46">
        <v>1670212</v>
      </c>
      <c r="H129" s="39" t="s">
        <v>307</v>
      </c>
      <c r="N129" s="30" t="s">
        <v>395</v>
      </c>
      <c r="O129" s="2">
        <v>1</v>
      </c>
      <c r="Q129" s="30">
        <v>233</v>
      </c>
      <c r="R129" s="44">
        <v>1.03</v>
      </c>
      <c r="T129" s="44">
        <v>239.99</v>
      </c>
      <c r="X129" s="5">
        <v>239.99</v>
      </c>
      <c r="Z129" s="54">
        <v>1.03</v>
      </c>
      <c r="AA129" s="30" t="s">
        <v>395</v>
      </c>
      <c r="AB129" s="2">
        <v>1</v>
      </c>
      <c r="AF129" s="46">
        <v>1670212</v>
      </c>
      <c r="AG129" s="1" t="s">
        <v>534</v>
      </c>
      <c r="AH129" s="27" t="s">
        <v>307</v>
      </c>
      <c r="AI129" s="6" t="s">
        <v>547</v>
      </c>
      <c r="AJ129" s="46" t="s">
        <v>548</v>
      </c>
    </row>
    <row r="130" spans="7:36" x14ac:dyDescent="0.3">
      <c r="G130" s="46">
        <v>486928</v>
      </c>
      <c r="H130" s="39" t="s">
        <v>168</v>
      </c>
      <c r="N130" s="30" t="s">
        <v>395</v>
      </c>
      <c r="O130" s="2">
        <v>1</v>
      </c>
      <c r="Q130" s="30">
        <v>150</v>
      </c>
      <c r="R130" s="44">
        <v>1.49</v>
      </c>
      <c r="T130" s="44">
        <v>223.5</v>
      </c>
      <c r="X130" s="5">
        <v>223.5</v>
      </c>
      <c r="Z130" s="54" t="s">
        <v>456</v>
      </c>
      <c r="AA130" s="30" t="s">
        <v>395</v>
      </c>
      <c r="AB130" s="2">
        <v>1</v>
      </c>
      <c r="AF130" s="46">
        <v>486928</v>
      </c>
      <c r="AG130" s="1" t="s">
        <v>534</v>
      </c>
      <c r="AH130" s="27" t="s">
        <v>168</v>
      </c>
      <c r="AI130" s="6" t="s">
        <v>547</v>
      </c>
      <c r="AJ130" s="46" t="s">
        <v>550</v>
      </c>
    </row>
    <row r="131" spans="7:36" x14ac:dyDescent="0.3">
      <c r="G131" s="46">
        <v>808634</v>
      </c>
      <c r="H131" s="39" t="s">
        <v>259</v>
      </c>
      <c r="N131" s="30" t="s">
        <v>392</v>
      </c>
      <c r="O131" s="2">
        <v>820</v>
      </c>
      <c r="Q131" s="30">
        <v>52</v>
      </c>
      <c r="R131" s="44">
        <v>3.99</v>
      </c>
      <c r="T131" s="44">
        <v>207.48000000000002</v>
      </c>
      <c r="X131" s="5">
        <v>154.44</v>
      </c>
      <c r="Z131" s="54">
        <v>2.97</v>
      </c>
      <c r="AA131" s="30" t="s">
        <v>392</v>
      </c>
      <c r="AB131" s="2">
        <v>820</v>
      </c>
      <c r="AF131" s="46">
        <v>808634</v>
      </c>
      <c r="AG131" s="1" t="s">
        <v>534</v>
      </c>
      <c r="AH131" s="27" t="s">
        <v>259</v>
      </c>
      <c r="AI131" s="6" t="s">
        <v>547</v>
      </c>
      <c r="AJ131" s="46" t="s">
        <v>549</v>
      </c>
    </row>
    <row r="132" spans="7:36" x14ac:dyDescent="0.3">
      <c r="G132" s="46">
        <v>1804207</v>
      </c>
      <c r="H132" s="39" t="s">
        <v>310</v>
      </c>
      <c r="N132" s="30" t="s">
        <v>392</v>
      </c>
      <c r="O132" s="2">
        <v>100</v>
      </c>
      <c r="Q132" s="30">
        <v>106</v>
      </c>
      <c r="R132" s="44">
        <v>1.95</v>
      </c>
      <c r="T132" s="44">
        <v>206.7</v>
      </c>
      <c r="X132" s="5">
        <v>214.12</v>
      </c>
      <c r="Z132" s="54">
        <v>2.02</v>
      </c>
      <c r="AA132" s="30" t="s">
        <v>392</v>
      </c>
      <c r="AB132" s="2">
        <v>100</v>
      </c>
      <c r="AF132" s="46">
        <v>1804207</v>
      </c>
      <c r="AG132" s="1" t="s">
        <v>534</v>
      </c>
      <c r="AH132" s="27" t="s">
        <v>310</v>
      </c>
      <c r="AI132" s="6" t="s">
        <v>547</v>
      </c>
      <c r="AJ132" s="46" t="s">
        <v>548</v>
      </c>
    </row>
    <row r="133" spans="7:36" x14ac:dyDescent="0.3">
      <c r="G133" s="46">
        <v>24328570</v>
      </c>
      <c r="H133" s="39" t="s">
        <v>345</v>
      </c>
      <c r="N133" s="30" t="s">
        <v>395</v>
      </c>
      <c r="O133" s="2">
        <v>1</v>
      </c>
      <c r="Q133" s="30">
        <v>1</v>
      </c>
      <c r="R133" s="44">
        <v>199.99</v>
      </c>
      <c r="T133" s="44">
        <v>199.99</v>
      </c>
      <c r="X133" s="5">
        <v>199.99</v>
      </c>
      <c r="Z133" s="54" t="s">
        <v>517</v>
      </c>
      <c r="AA133" s="30" t="s">
        <v>395</v>
      </c>
      <c r="AB133" s="2">
        <v>1</v>
      </c>
      <c r="AF133" s="46">
        <v>24328570</v>
      </c>
      <c r="AG133" s="1" t="s">
        <v>541</v>
      </c>
      <c r="AH133" s="27" t="s">
        <v>345</v>
      </c>
      <c r="AI133" s="6" t="s">
        <v>547</v>
      </c>
      <c r="AJ133" s="46" t="s">
        <v>550</v>
      </c>
    </row>
    <row r="134" spans="7:36" x14ac:dyDescent="0.3">
      <c r="G134" s="46">
        <v>447139</v>
      </c>
      <c r="H134" s="39" t="s">
        <v>145</v>
      </c>
      <c r="N134" s="30" t="s">
        <v>395</v>
      </c>
      <c r="O134" s="2">
        <v>1</v>
      </c>
      <c r="Q134" s="30">
        <v>6</v>
      </c>
      <c r="R134" s="44">
        <v>31.49</v>
      </c>
      <c r="T134" s="44">
        <v>188.94</v>
      </c>
      <c r="X134" s="5">
        <v>188.94</v>
      </c>
      <c r="Z134" s="54" t="s">
        <v>450</v>
      </c>
      <c r="AA134" s="30" t="s">
        <v>395</v>
      </c>
      <c r="AB134" s="2">
        <v>1</v>
      </c>
      <c r="AF134" s="46">
        <v>447139</v>
      </c>
      <c r="AG134" s="1" t="s">
        <v>541</v>
      </c>
      <c r="AH134" s="27" t="s">
        <v>145</v>
      </c>
      <c r="AI134" s="6" t="s">
        <v>547</v>
      </c>
      <c r="AJ134" s="46" t="s">
        <v>550</v>
      </c>
    </row>
    <row r="135" spans="7:36" x14ac:dyDescent="0.3">
      <c r="G135" s="46">
        <v>829911</v>
      </c>
      <c r="H135" s="39" t="s">
        <v>269</v>
      </c>
      <c r="N135" s="30" t="s">
        <v>396</v>
      </c>
      <c r="O135" s="2">
        <v>100</v>
      </c>
      <c r="Q135" s="30">
        <v>6</v>
      </c>
      <c r="R135" s="44">
        <v>31.4</v>
      </c>
      <c r="T135" s="44">
        <v>188.39999999999998</v>
      </c>
      <c r="X135" s="5">
        <v>270.60000000000002</v>
      </c>
      <c r="Z135" s="54">
        <v>45.1</v>
      </c>
      <c r="AA135" s="30" t="s">
        <v>396</v>
      </c>
      <c r="AB135" s="2">
        <v>100</v>
      </c>
      <c r="AF135" s="46">
        <v>829911</v>
      </c>
      <c r="AG135" s="1" t="s">
        <v>539</v>
      </c>
      <c r="AH135" s="27" t="s">
        <v>269</v>
      </c>
      <c r="AI135" s="6" t="s">
        <v>547</v>
      </c>
      <c r="AJ135" s="46" t="s">
        <v>548</v>
      </c>
    </row>
    <row r="136" spans="7:36" x14ac:dyDescent="0.3">
      <c r="G136" s="46">
        <v>448845</v>
      </c>
      <c r="H136" s="39" t="s">
        <v>146</v>
      </c>
      <c r="N136" s="30" t="s">
        <v>392</v>
      </c>
      <c r="O136" s="2">
        <v>12</v>
      </c>
      <c r="Q136" s="30">
        <v>21</v>
      </c>
      <c r="R136" s="44">
        <v>8.7899999999999991</v>
      </c>
      <c r="T136" s="44">
        <v>184.58999999999997</v>
      </c>
      <c r="X136" s="5">
        <v>184.58999999999997</v>
      </c>
      <c r="Z136" s="54" t="s">
        <v>451</v>
      </c>
      <c r="AA136" s="30" t="s">
        <v>392</v>
      </c>
      <c r="AB136" s="2">
        <v>12</v>
      </c>
      <c r="AF136" s="46">
        <v>448845</v>
      </c>
      <c r="AG136" s="1" t="s">
        <v>534</v>
      </c>
      <c r="AH136" s="27" t="s">
        <v>146</v>
      </c>
      <c r="AI136" s="6" t="s">
        <v>547</v>
      </c>
      <c r="AJ136" s="46" t="s">
        <v>550</v>
      </c>
    </row>
    <row r="137" spans="7:36" x14ac:dyDescent="0.3">
      <c r="G137" s="46">
        <v>1878689</v>
      </c>
      <c r="H137" s="39" t="s">
        <v>314</v>
      </c>
      <c r="N137" s="30" t="s">
        <v>395</v>
      </c>
      <c r="O137" s="2">
        <v>1</v>
      </c>
      <c r="Q137" s="30">
        <v>2</v>
      </c>
      <c r="R137" s="44">
        <v>91.66</v>
      </c>
      <c r="T137" s="44">
        <v>183.32</v>
      </c>
      <c r="X137" s="5">
        <v>183.32</v>
      </c>
      <c r="Z137" s="54" t="s">
        <v>508</v>
      </c>
      <c r="AA137" s="30" t="s">
        <v>395</v>
      </c>
      <c r="AB137" s="2">
        <v>1</v>
      </c>
      <c r="AF137" s="46">
        <v>1878689</v>
      </c>
      <c r="AG137" s="1" t="s">
        <v>537</v>
      </c>
      <c r="AH137" s="27" t="s">
        <v>314</v>
      </c>
      <c r="AI137" s="6" t="s">
        <v>547</v>
      </c>
      <c r="AJ137" s="46" t="s">
        <v>549</v>
      </c>
    </row>
    <row r="138" spans="7:36" x14ac:dyDescent="0.3">
      <c r="G138" s="46">
        <v>954143</v>
      </c>
      <c r="H138" s="39" t="s">
        <v>300</v>
      </c>
      <c r="N138" s="30" t="s">
        <v>396</v>
      </c>
      <c r="O138" s="2">
        <v>50</v>
      </c>
      <c r="Q138" s="30">
        <v>3</v>
      </c>
      <c r="R138" s="44">
        <v>59.59</v>
      </c>
      <c r="T138" s="44">
        <v>178.77</v>
      </c>
      <c r="X138" s="5">
        <v>108.63</v>
      </c>
      <c r="Z138" s="54">
        <v>36.21</v>
      </c>
      <c r="AA138" s="30" t="s">
        <v>396</v>
      </c>
      <c r="AB138" s="2">
        <v>50</v>
      </c>
      <c r="AF138" s="46">
        <v>954143</v>
      </c>
      <c r="AG138" s="1" t="s">
        <v>539</v>
      </c>
      <c r="AH138" s="27" t="s">
        <v>300</v>
      </c>
      <c r="AI138" s="6" t="s">
        <v>547</v>
      </c>
      <c r="AJ138" s="46" t="s">
        <v>548</v>
      </c>
    </row>
    <row r="139" spans="7:36" x14ac:dyDescent="0.3">
      <c r="G139" s="46">
        <v>566942</v>
      </c>
      <c r="H139" s="39" t="s">
        <v>215</v>
      </c>
      <c r="N139" s="30" t="s">
        <v>392</v>
      </c>
      <c r="O139" s="2">
        <v>144</v>
      </c>
      <c r="Q139" s="30">
        <v>42</v>
      </c>
      <c r="R139" s="44">
        <v>4.24</v>
      </c>
      <c r="T139" s="44">
        <v>178.08</v>
      </c>
      <c r="X139" s="5">
        <v>110.46</v>
      </c>
      <c r="Z139" s="54">
        <v>2.63</v>
      </c>
      <c r="AA139" s="30" t="s">
        <v>392</v>
      </c>
      <c r="AB139" s="2">
        <v>144</v>
      </c>
      <c r="AF139" s="46">
        <v>566942</v>
      </c>
      <c r="AG139" s="1" t="s">
        <v>534</v>
      </c>
      <c r="AH139" s="27" t="s">
        <v>215</v>
      </c>
      <c r="AI139" s="6" t="s">
        <v>547</v>
      </c>
      <c r="AJ139" s="46" t="s">
        <v>549</v>
      </c>
    </row>
    <row r="140" spans="7:36" x14ac:dyDescent="0.3">
      <c r="G140" s="46">
        <v>24447816</v>
      </c>
      <c r="H140" s="39" t="s">
        <v>377</v>
      </c>
      <c r="N140" s="30" t="s">
        <v>395</v>
      </c>
      <c r="O140" s="2">
        <v>1</v>
      </c>
      <c r="Q140" s="30">
        <v>45</v>
      </c>
      <c r="R140" s="44">
        <v>3.94</v>
      </c>
      <c r="T140" s="44">
        <v>177.3</v>
      </c>
      <c r="X140" s="5">
        <v>215.55</v>
      </c>
      <c r="Z140" s="54" t="s">
        <v>435</v>
      </c>
      <c r="AA140" s="30" t="s">
        <v>395</v>
      </c>
      <c r="AB140" s="2">
        <v>1</v>
      </c>
      <c r="AF140" s="46">
        <v>24447816</v>
      </c>
      <c r="AG140" s="1" t="s">
        <v>538</v>
      </c>
      <c r="AH140" s="27" t="s">
        <v>377</v>
      </c>
      <c r="AI140" s="6" t="s">
        <v>547</v>
      </c>
      <c r="AJ140" s="46" t="s">
        <v>550</v>
      </c>
    </row>
    <row r="141" spans="7:36" x14ac:dyDescent="0.3">
      <c r="G141" s="46">
        <v>24458281</v>
      </c>
      <c r="H141" s="39" t="s">
        <v>379</v>
      </c>
      <c r="N141" s="30" t="s">
        <v>395</v>
      </c>
      <c r="O141" s="2">
        <v>1</v>
      </c>
      <c r="Q141" s="30">
        <v>1</v>
      </c>
      <c r="R141" s="44">
        <v>169.39</v>
      </c>
      <c r="T141" s="44">
        <v>169.39</v>
      </c>
      <c r="X141" s="5">
        <v>222.14</v>
      </c>
      <c r="Z141" s="54">
        <v>222.14</v>
      </c>
      <c r="AA141" s="30" t="s">
        <v>395</v>
      </c>
      <c r="AB141" s="2">
        <v>1</v>
      </c>
      <c r="AF141" s="46">
        <v>24458281</v>
      </c>
      <c r="AG141" s="1" t="s">
        <v>546</v>
      </c>
      <c r="AH141" s="27" t="s">
        <v>379</v>
      </c>
      <c r="AI141" s="6" t="s">
        <v>547</v>
      </c>
      <c r="AJ141" s="46" t="s">
        <v>548</v>
      </c>
    </row>
    <row r="142" spans="7:36" x14ac:dyDescent="0.3">
      <c r="G142" s="46">
        <v>440732</v>
      </c>
      <c r="H142" s="39" t="s">
        <v>143</v>
      </c>
      <c r="N142" s="30" t="s">
        <v>396</v>
      </c>
      <c r="O142" s="2">
        <v>300</v>
      </c>
      <c r="Q142" s="30">
        <v>3</v>
      </c>
      <c r="R142" s="44">
        <v>55.99</v>
      </c>
      <c r="T142" s="44">
        <v>167.97</v>
      </c>
      <c r="X142" s="5">
        <v>132.06</v>
      </c>
      <c r="Z142" s="54">
        <v>44.02</v>
      </c>
      <c r="AA142" s="30" t="s">
        <v>396</v>
      </c>
      <c r="AB142" s="2">
        <v>300</v>
      </c>
      <c r="AF142" s="46">
        <v>440732</v>
      </c>
      <c r="AG142" s="1" t="s">
        <v>534</v>
      </c>
      <c r="AH142" s="27" t="s">
        <v>143</v>
      </c>
      <c r="AI142" s="6" t="s">
        <v>547</v>
      </c>
      <c r="AJ142" s="46" t="s">
        <v>549</v>
      </c>
    </row>
    <row r="143" spans="7:36" x14ac:dyDescent="0.3">
      <c r="G143" s="46">
        <v>563226</v>
      </c>
      <c r="H143" s="39" t="s">
        <v>210</v>
      </c>
      <c r="N143" s="30" t="s">
        <v>394</v>
      </c>
      <c r="O143" s="2">
        <v>12</v>
      </c>
      <c r="Q143" s="30">
        <v>18</v>
      </c>
      <c r="R143" s="44">
        <v>9.2899999999999991</v>
      </c>
      <c r="T143" s="44">
        <v>167.21999999999997</v>
      </c>
      <c r="X143" s="5">
        <v>69.3</v>
      </c>
      <c r="Z143" s="54">
        <v>3.85</v>
      </c>
      <c r="AA143" s="30" t="s">
        <v>394</v>
      </c>
      <c r="AB143" s="2">
        <v>12</v>
      </c>
      <c r="AF143" s="46">
        <v>563226</v>
      </c>
      <c r="AG143" s="1" t="s">
        <v>534</v>
      </c>
      <c r="AH143" s="27" t="s">
        <v>210</v>
      </c>
      <c r="AI143" s="6" t="s">
        <v>547</v>
      </c>
      <c r="AJ143" s="46" t="s">
        <v>549</v>
      </c>
    </row>
    <row r="144" spans="7:36" x14ac:dyDescent="0.3">
      <c r="G144" s="46">
        <v>501957</v>
      </c>
      <c r="H144" s="39" t="s">
        <v>187</v>
      </c>
      <c r="N144" s="30" t="s">
        <v>394</v>
      </c>
      <c r="O144" s="2">
        <v>12</v>
      </c>
      <c r="Q144" s="30">
        <v>12</v>
      </c>
      <c r="R144" s="44">
        <v>13.44</v>
      </c>
      <c r="T144" s="44">
        <v>161.28</v>
      </c>
      <c r="X144" s="5">
        <v>173.04</v>
      </c>
      <c r="Z144" s="54">
        <v>14.42</v>
      </c>
      <c r="AA144" s="30" t="s">
        <v>394</v>
      </c>
      <c r="AB144" s="2">
        <v>12</v>
      </c>
      <c r="AF144" s="46">
        <v>501957</v>
      </c>
      <c r="AG144" s="1" t="s">
        <v>534</v>
      </c>
      <c r="AH144" s="27" t="s">
        <v>187</v>
      </c>
      <c r="AI144" s="6" t="s">
        <v>547</v>
      </c>
      <c r="AJ144" s="46" t="s">
        <v>548</v>
      </c>
    </row>
    <row r="145" spans="7:36" x14ac:dyDescent="0.3">
      <c r="G145" s="46">
        <v>123885</v>
      </c>
      <c r="H145" s="39" t="s">
        <v>74</v>
      </c>
      <c r="N145" s="30" t="s">
        <v>394</v>
      </c>
      <c r="O145" s="2">
        <v>12</v>
      </c>
      <c r="Q145" s="30">
        <v>42</v>
      </c>
      <c r="R145" s="44">
        <v>3.69</v>
      </c>
      <c r="T145" s="44">
        <v>154.97999999999999</v>
      </c>
      <c r="X145" s="5">
        <v>180.18</v>
      </c>
      <c r="Z145" s="54" t="s">
        <v>422</v>
      </c>
      <c r="AA145" s="30" t="s">
        <v>394</v>
      </c>
      <c r="AB145" s="2">
        <v>12</v>
      </c>
      <c r="AF145" s="46">
        <v>123885</v>
      </c>
      <c r="AG145" s="1" t="s">
        <v>534</v>
      </c>
      <c r="AH145" s="27" t="s">
        <v>74</v>
      </c>
      <c r="AI145" s="6" t="s">
        <v>547</v>
      </c>
      <c r="AJ145" s="46" t="s">
        <v>550</v>
      </c>
    </row>
    <row r="146" spans="7:36" x14ac:dyDescent="0.3">
      <c r="G146" s="46">
        <v>917878</v>
      </c>
      <c r="H146" s="39" t="s">
        <v>290</v>
      </c>
      <c r="N146" s="30" t="s">
        <v>395</v>
      </c>
      <c r="O146" s="2">
        <v>1</v>
      </c>
      <c r="Q146" s="30">
        <v>12</v>
      </c>
      <c r="R146" s="44">
        <v>12.89</v>
      </c>
      <c r="T146" s="44">
        <v>154.68</v>
      </c>
      <c r="X146" s="5">
        <v>142.07999999999998</v>
      </c>
      <c r="Z146" s="54">
        <v>11.84</v>
      </c>
      <c r="AA146" s="30" t="s">
        <v>395</v>
      </c>
      <c r="AB146" s="2">
        <v>1</v>
      </c>
      <c r="AF146" s="46">
        <v>917878</v>
      </c>
      <c r="AG146" s="1" t="s">
        <v>539</v>
      </c>
      <c r="AH146" s="27" t="s">
        <v>290</v>
      </c>
      <c r="AI146" s="6" t="s">
        <v>547</v>
      </c>
      <c r="AJ146" s="46" t="s">
        <v>548</v>
      </c>
    </row>
    <row r="147" spans="7:36" x14ac:dyDescent="0.3">
      <c r="G147" s="46">
        <v>123455</v>
      </c>
      <c r="H147" s="39" t="s">
        <v>73</v>
      </c>
      <c r="N147" s="30" t="s">
        <v>394</v>
      </c>
      <c r="O147" s="2">
        <v>12</v>
      </c>
      <c r="Q147" s="30">
        <v>138</v>
      </c>
      <c r="R147" s="44">
        <v>1.1200000000000001</v>
      </c>
      <c r="T147" s="44">
        <v>154.56</v>
      </c>
      <c r="X147" s="5">
        <v>111.78</v>
      </c>
      <c r="Z147" s="54" t="s">
        <v>417</v>
      </c>
      <c r="AA147" s="30" t="s">
        <v>394</v>
      </c>
      <c r="AB147" s="2">
        <v>12</v>
      </c>
      <c r="AF147" s="46">
        <v>123455</v>
      </c>
      <c r="AG147" s="1" t="s">
        <v>534</v>
      </c>
      <c r="AH147" s="27" t="s">
        <v>73</v>
      </c>
      <c r="AI147" s="6" t="s">
        <v>547</v>
      </c>
      <c r="AJ147" s="46" t="s">
        <v>549</v>
      </c>
    </row>
    <row r="148" spans="7:36" x14ac:dyDescent="0.3">
      <c r="G148" s="46">
        <v>815929</v>
      </c>
      <c r="H148" s="39" t="s">
        <v>264</v>
      </c>
      <c r="N148" s="30" t="s">
        <v>397</v>
      </c>
      <c r="O148" s="2">
        <v>6</v>
      </c>
      <c r="Q148" s="30">
        <v>5</v>
      </c>
      <c r="R148" s="44">
        <v>29.99</v>
      </c>
      <c r="T148" s="44">
        <v>149.94999999999999</v>
      </c>
      <c r="X148" s="5">
        <v>149.94999999999999</v>
      </c>
      <c r="Z148" s="54" t="s">
        <v>440</v>
      </c>
      <c r="AA148" s="30" t="s">
        <v>397</v>
      </c>
      <c r="AB148" s="2">
        <v>6</v>
      </c>
      <c r="AF148" s="46">
        <v>815929</v>
      </c>
      <c r="AG148" s="1" t="s">
        <v>535</v>
      </c>
      <c r="AH148" s="27" t="s">
        <v>264</v>
      </c>
      <c r="AI148" s="6" t="s">
        <v>547</v>
      </c>
      <c r="AJ148" s="46" t="s">
        <v>550</v>
      </c>
    </row>
    <row r="149" spans="7:36" x14ac:dyDescent="0.3">
      <c r="G149" s="46">
        <v>412593</v>
      </c>
      <c r="H149" s="39" t="s">
        <v>138</v>
      </c>
      <c r="N149" s="30" t="s">
        <v>392</v>
      </c>
      <c r="O149" s="2">
        <v>6</v>
      </c>
      <c r="Q149" s="30">
        <v>11</v>
      </c>
      <c r="R149" s="44">
        <v>13.45</v>
      </c>
      <c r="T149" s="44">
        <v>147.94999999999999</v>
      </c>
      <c r="X149" s="5">
        <v>165.88</v>
      </c>
      <c r="Z149" s="54">
        <v>15.08</v>
      </c>
      <c r="AA149" s="30" t="s">
        <v>392</v>
      </c>
      <c r="AB149" s="2">
        <v>6</v>
      </c>
      <c r="AF149" s="46">
        <v>412593</v>
      </c>
      <c r="AG149" s="1" t="s">
        <v>534</v>
      </c>
      <c r="AH149" s="27" t="s">
        <v>138</v>
      </c>
      <c r="AI149" s="6" t="s">
        <v>547</v>
      </c>
      <c r="AJ149" s="46" t="s">
        <v>548</v>
      </c>
    </row>
    <row r="150" spans="7:36" x14ac:dyDescent="0.3">
      <c r="G150" s="46">
        <v>1558824</v>
      </c>
      <c r="H150" s="39" t="s">
        <v>306</v>
      </c>
      <c r="N150" s="30" t="s">
        <v>392</v>
      </c>
      <c r="O150" s="2">
        <v>10</v>
      </c>
      <c r="Q150" s="30">
        <v>53</v>
      </c>
      <c r="R150" s="44">
        <v>2.74</v>
      </c>
      <c r="T150" s="44">
        <v>145.22</v>
      </c>
      <c r="X150" s="5">
        <v>184.97</v>
      </c>
      <c r="Z150" s="54" t="s">
        <v>427</v>
      </c>
      <c r="AA150" s="30" t="s">
        <v>392</v>
      </c>
      <c r="AB150" s="2">
        <v>10</v>
      </c>
      <c r="AF150" s="46">
        <v>1558824</v>
      </c>
      <c r="AG150" s="1" t="s">
        <v>534</v>
      </c>
      <c r="AH150" s="27" t="s">
        <v>306</v>
      </c>
      <c r="AI150" s="6" t="s">
        <v>547</v>
      </c>
      <c r="AJ150" s="46" t="s">
        <v>550</v>
      </c>
    </row>
    <row r="151" spans="7:36" x14ac:dyDescent="0.3">
      <c r="G151" s="46">
        <v>489526</v>
      </c>
      <c r="H151" s="39" t="s">
        <v>172</v>
      </c>
      <c r="N151" s="30" t="s">
        <v>392</v>
      </c>
      <c r="O151" s="2">
        <v>100</v>
      </c>
      <c r="Q151" s="30">
        <v>5</v>
      </c>
      <c r="R151" s="44">
        <v>27.59</v>
      </c>
      <c r="T151" s="44">
        <v>137.94999999999999</v>
      </c>
      <c r="X151" s="5">
        <v>42.85</v>
      </c>
      <c r="Z151" s="54">
        <v>8.57</v>
      </c>
      <c r="AA151" s="30" t="s">
        <v>392</v>
      </c>
      <c r="AB151" s="2">
        <v>100</v>
      </c>
      <c r="AF151" s="46">
        <v>489526</v>
      </c>
      <c r="AG151" s="1" t="s">
        <v>539</v>
      </c>
      <c r="AH151" s="27" t="s">
        <v>172</v>
      </c>
      <c r="AI151" s="6" t="s">
        <v>547</v>
      </c>
      <c r="AJ151" s="46" t="s">
        <v>549</v>
      </c>
    </row>
    <row r="152" spans="7:36" x14ac:dyDescent="0.3">
      <c r="G152" s="46">
        <v>105825</v>
      </c>
      <c r="H152" s="39" t="s">
        <v>62</v>
      </c>
      <c r="N152" s="30" t="s">
        <v>394</v>
      </c>
      <c r="O152" s="2">
        <v>12</v>
      </c>
      <c r="Q152" s="30">
        <v>39</v>
      </c>
      <c r="R152" s="44">
        <v>3.52</v>
      </c>
      <c r="T152" s="44">
        <v>137.28</v>
      </c>
      <c r="X152" s="5">
        <v>171.20999999999998</v>
      </c>
      <c r="Z152" s="54" t="s">
        <v>416</v>
      </c>
      <c r="AA152" s="30" t="s">
        <v>394</v>
      </c>
      <c r="AB152" s="2">
        <v>12</v>
      </c>
      <c r="AF152" s="46">
        <v>105825</v>
      </c>
      <c r="AG152" s="1" t="s">
        <v>534</v>
      </c>
      <c r="AH152" s="27" t="s">
        <v>62</v>
      </c>
      <c r="AI152" s="6" t="s">
        <v>547</v>
      </c>
      <c r="AJ152" s="46" t="s">
        <v>549</v>
      </c>
    </row>
    <row r="153" spans="7:36" x14ac:dyDescent="0.3">
      <c r="G153" s="46">
        <v>772968</v>
      </c>
      <c r="H153" s="39" t="s">
        <v>253</v>
      </c>
      <c r="N153" s="30" t="s">
        <v>392</v>
      </c>
      <c r="O153" s="2">
        <v>120</v>
      </c>
      <c r="Q153" s="30">
        <v>76</v>
      </c>
      <c r="R153" s="44">
        <v>1.79</v>
      </c>
      <c r="T153" s="44">
        <v>136.04</v>
      </c>
      <c r="X153" s="5">
        <v>136.04</v>
      </c>
      <c r="Z153" s="54" t="s">
        <v>465</v>
      </c>
      <c r="AA153" s="30" t="s">
        <v>392</v>
      </c>
      <c r="AB153" s="2">
        <v>120</v>
      </c>
      <c r="AF153" s="46">
        <v>772968</v>
      </c>
      <c r="AG153" s="1" t="s">
        <v>534</v>
      </c>
      <c r="AH153" s="27" t="s">
        <v>253</v>
      </c>
      <c r="AI153" s="6" t="s">
        <v>547</v>
      </c>
      <c r="AJ153" s="46" t="s">
        <v>550</v>
      </c>
    </row>
    <row r="154" spans="7:36" x14ac:dyDescent="0.3">
      <c r="G154" s="46">
        <v>917917</v>
      </c>
      <c r="H154" s="39" t="s">
        <v>294</v>
      </c>
      <c r="N154" s="30" t="s">
        <v>395</v>
      </c>
      <c r="O154" s="2">
        <v>1</v>
      </c>
      <c r="Q154" s="30">
        <v>8</v>
      </c>
      <c r="R154" s="44">
        <v>16.989999999999998</v>
      </c>
      <c r="T154" s="44">
        <v>135.91999999999999</v>
      </c>
      <c r="X154" s="5">
        <v>135.91999999999999</v>
      </c>
      <c r="Z154" s="54" t="s">
        <v>501</v>
      </c>
      <c r="AA154" s="30" t="s">
        <v>395</v>
      </c>
      <c r="AB154" s="2">
        <v>1</v>
      </c>
      <c r="AF154" s="46">
        <v>917917</v>
      </c>
      <c r="AG154" s="1" t="s">
        <v>539</v>
      </c>
      <c r="AH154" s="27" t="s">
        <v>294</v>
      </c>
      <c r="AI154" s="6" t="s">
        <v>547</v>
      </c>
      <c r="AJ154" s="46" t="s">
        <v>550</v>
      </c>
    </row>
    <row r="155" spans="7:36" x14ac:dyDescent="0.3">
      <c r="G155" s="46">
        <v>117468</v>
      </c>
      <c r="H155" s="39" t="s">
        <v>68</v>
      </c>
      <c r="N155" s="30" t="s">
        <v>395</v>
      </c>
      <c r="O155" s="2">
        <v>1</v>
      </c>
      <c r="Q155" s="30">
        <v>1</v>
      </c>
      <c r="R155" s="44">
        <v>131.09</v>
      </c>
      <c r="T155" s="44">
        <v>131.09</v>
      </c>
      <c r="X155" s="5">
        <v>137.99</v>
      </c>
      <c r="Z155" s="54" t="s">
        <v>420</v>
      </c>
      <c r="AA155" s="30" t="s">
        <v>395</v>
      </c>
      <c r="AB155" s="2">
        <v>1</v>
      </c>
      <c r="AF155" s="46">
        <v>117468</v>
      </c>
      <c r="AG155" s="1" t="s">
        <v>537</v>
      </c>
      <c r="AH155" s="27" t="s">
        <v>68</v>
      </c>
      <c r="AI155" s="6" t="s">
        <v>547</v>
      </c>
      <c r="AJ155" s="46" t="s">
        <v>550</v>
      </c>
    </row>
    <row r="156" spans="7:36" x14ac:dyDescent="0.3">
      <c r="G156" s="46">
        <v>833798</v>
      </c>
      <c r="H156" s="39" t="s">
        <v>275</v>
      </c>
      <c r="N156" s="30" t="s">
        <v>396</v>
      </c>
      <c r="O156" s="2">
        <v>200</v>
      </c>
      <c r="Q156" s="30">
        <v>3</v>
      </c>
      <c r="R156" s="44">
        <v>41.49</v>
      </c>
      <c r="T156" s="44">
        <v>124.47</v>
      </c>
      <c r="X156" s="5">
        <v>124.47</v>
      </c>
      <c r="Z156" s="54" t="s">
        <v>492</v>
      </c>
      <c r="AA156" s="30" t="s">
        <v>396</v>
      </c>
      <c r="AB156" s="2">
        <v>200</v>
      </c>
      <c r="AF156" s="46">
        <v>833798</v>
      </c>
      <c r="AG156" s="1" t="s">
        <v>538</v>
      </c>
      <c r="AH156" s="27" t="s">
        <v>275</v>
      </c>
      <c r="AI156" s="6" t="s">
        <v>547</v>
      </c>
      <c r="AJ156" s="46" t="s">
        <v>550</v>
      </c>
    </row>
    <row r="157" spans="7:36" x14ac:dyDescent="0.3">
      <c r="G157" s="46">
        <v>932675</v>
      </c>
      <c r="H157" s="39" t="s">
        <v>297</v>
      </c>
      <c r="N157" s="30" t="s">
        <v>394</v>
      </c>
      <c r="O157" s="2">
        <v>12</v>
      </c>
      <c r="Q157" s="30">
        <v>25</v>
      </c>
      <c r="R157" s="44">
        <v>4.95</v>
      </c>
      <c r="T157" s="44">
        <v>123.75</v>
      </c>
      <c r="X157" s="5">
        <v>71</v>
      </c>
      <c r="Z157" s="54">
        <v>2.84</v>
      </c>
      <c r="AA157" s="30" t="s">
        <v>394</v>
      </c>
      <c r="AB157" s="2">
        <v>12</v>
      </c>
      <c r="AF157" s="46">
        <v>932675</v>
      </c>
      <c r="AG157" s="1" t="s">
        <v>534</v>
      </c>
      <c r="AH157" s="27" t="s">
        <v>297</v>
      </c>
      <c r="AI157" s="6" t="s">
        <v>547</v>
      </c>
      <c r="AJ157" s="46" t="s">
        <v>548</v>
      </c>
    </row>
    <row r="158" spans="7:36" x14ac:dyDescent="0.3">
      <c r="G158" s="46">
        <v>958751</v>
      </c>
      <c r="H158" s="39" t="s">
        <v>301</v>
      </c>
      <c r="N158" s="30" t="s">
        <v>403</v>
      </c>
      <c r="O158" s="2">
        <v>250</v>
      </c>
      <c r="Q158" s="30">
        <v>6</v>
      </c>
      <c r="R158" s="44">
        <v>20.49</v>
      </c>
      <c r="T158" s="44">
        <v>122.94</v>
      </c>
      <c r="X158" s="5">
        <v>122.94</v>
      </c>
      <c r="Z158" s="54">
        <v>20.49</v>
      </c>
      <c r="AA158" s="30" t="s">
        <v>403</v>
      </c>
      <c r="AB158" s="2">
        <v>250</v>
      </c>
      <c r="AF158" s="46">
        <v>958751</v>
      </c>
      <c r="AG158" s="1" t="s">
        <v>538</v>
      </c>
      <c r="AH158" s="27" t="s">
        <v>301</v>
      </c>
      <c r="AI158" s="6" t="s">
        <v>547</v>
      </c>
      <c r="AJ158" s="46" t="s">
        <v>550</v>
      </c>
    </row>
    <row r="159" spans="7:36" x14ac:dyDescent="0.3">
      <c r="G159" s="46">
        <v>439322</v>
      </c>
      <c r="H159" s="39" t="s">
        <v>142</v>
      </c>
      <c r="N159" s="30" t="s">
        <v>392</v>
      </c>
      <c r="O159" s="2">
        <v>450</v>
      </c>
      <c r="Q159" s="30">
        <v>8</v>
      </c>
      <c r="R159" s="44">
        <v>14.99</v>
      </c>
      <c r="T159" s="44">
        <v>119.92</v>
      </c>
      <c r="X159" s="5">
        <v>119.92</v>
      </c>
      <c r="Z159" s="54" t="s">
        <v>448</v>
      </c>
      <c r="AA159" s="30" t="s">
        <v>392</v>
      </c>
      <c r="AB159" s="2">
        <v>450</v>
      </c>
      <c r="AF159" s="46">
        <v>439322</v>
      </c>
      <c r="AG159" s="1" t="s">
        <v>534</v>
      </c>
      <c r="AH159" s="27" t="s">
        <v>142</v>
      </c>
      <c r="AI159" s="6" t="s">
        <v>547</v>
      </c>
      <c r="AJ159" s="46" t="s">
        <v>550</v>
      </c>
    </row>
    <row r="160" spans="7:36" x14ac:dyDescent="0.3">
      <c r="G160" s="46">
        <v>2633920</v>
      </c>
      <c r="H160" s="39" t="s">
        <v>333</v>
      </c>
      <c r="N160" s="30" t="s">
        <v>395</v>
      </c>
      <c r="O160" s="2">
        <v>1</v>
      </c>
      <c r="Q160" s="30">
        <v>20</v>
      </c>
      <c r="R160" s="44">
        <v>5.73</v>
      </c>
      <c r="T160" s="44">
        <v>114.60000000000001</v>
      </c>
      <c r="X160" s="5">
        <v>95.8</v>
      </c>
      <c r="Z160" s="54" t="s">
        <v>435</v>
      </c>
      <c r="AA160" s="30" t="s">
        <v>395</v>
      </c>
      <c r="AB160" s="2">
        <v>1</v>
      </c>
      <c r="AF160" s="46">
        <v>2633920</v>
      </c>
      <c r="AG160" s="1" t="s">
        <v>534</v>
      </c>
      <c r="AH160" s="27" t="s">
        <v>333</v>
      </c>
      <c r="AI160" s="6" t="s">
        <v>547</v>
      </c>
      <c r="AJ160" s="46" t="s">
        <v>550</v>
      </c>
    </row>
    <row r="161" spans="7:36" x14ac:dyDescent="0.3">
      <c r="G161" s="46">
        <v>507004</v>
      </c>
      <c r="H161" s="39" t="s">
        <v>193</v>
      </c>
      <c r="N161" s="30" t="s">
        <v>392</v>
      </c>
      <c r="O161" s="2">
        <v>5</v>
      </c>
      <c r="Q161" s="30">
        <v>35</v>
      </c>
      <c r="R161" s="44">
        <v>3.19</v>
      </c>
      <c r="T161" s="44">
        <v>111.64999999999999</v>
      </c>
      <c r="X161" s="5">
        <v>111.64999999999999</v>
      </c>
      <c r="Z161" s="54" t="s">
        <v>457</v>
      </c>
      <c r="AA161" s="30" t="s">
        <v>392</v>
      </c>
      <c r="AB161" s="2">
        <v>5</v>
      </c>
      <c r="AF161" s="46">
        <v>507004</v>
      </c>
      <c r="AG161" s="1" t="s">
        <v>534</v>
      </c>
      <c r="AH161" s="27" t="s">
        <v>193</v>
      </c>
      <c r="AI161" s="6" t="s">
        <v>547</v>
      </c>
      <c r="AJ161" s="46" t="s">
        <v>550</v>
      </c>
    </row>
    <row r="162" spans="7:36" x14ac:dyDescent="0.3">
      <c r="G162" s="46">
        <v>503573</v>
      </c>
      <c r="H162" s="39" t="s">
        <v>189</v>
      </c>
      <c r="N162" s="30" t="s">
        <v>392</v>
      </c>
      <c r="O162" s="2">
        <v>4</v>
      </c>
      <c r="Q162" s="30">
        <v>6</v>
      </c>
      <c r="R162" s="44">
        <v>18.489999999999998</v>
      </c>
      <c r="T162" s="44">
        <v>110.94</v>
      </c>
      <c r="X162" s="5">
        <v>110.94</v>
      </c>
      <c r="Z162" s="54" t="s">
        <v>453</v>
      </c>
      <c r="AA162" s="30" t="s">
        <v>392</v>
      </c>
      <c r="AB162" s="2">
        <v>4</v>
      </c>
      <c r="AF162" s="46">
        <v>503573</v>
      </c>
      <c r="AG162" s="1" t="s">
        <v>534</v>
      </c>
      <c r="AH162" s="27" t="s">
        <v>189</v>
      </c>
      <c r="AI162" s="6" t="s">
        <v>547</v>
      </c>
      <c r="AJ162" s="46" t="s">
        <v>550</v>
      </c>
    </row>
    <row r="163" spans="7:36" x14ac:dyDescent="0.3">
      <c r="G163" s="46">
        <v>518718</v>
      </c>
      <c r="H163" s="39" t="s">
        <v>200</v>
      </c>
      <c r="N163" s="30" t="s">
        <v>392</v>
      </c>
      <c r="O163" s="2">
        <v>16</v>
      </c>
      <c r="Q163" s="30">
        <v>5</v>
      </c>
      <c r="R163" s="44">
        <v>21.99</v>
      </c>
      <c r="T163" s="44">
        <v>109.94999999999999</v>
      </c>
      <c r="X163" s="5">
        <v>109.94999999999999</v>
      </c>
      <c r="Z163" s="54" t="s">
        <v>468</v>
      </c>
      <c r="AA163" s="30" t="s">
        <v>392</v>
      </c>
      <c r="AB163" s="2">
        <v>16</v>
      </c>
      <c r="AF163" s="46">
        <v>518718</v>
      </c>
      <c r="AG163" s="1" t="s">
        <v>534</v>
      </c>
      <c r="AH163" s="27" t="s">
        <v>200</v>
      </c>
      <c r="AI163" s="6" t="s">
        <v>547</v>
      </c>
      <c r="AJ163" s="46" t="s">
        <v>550</v>
      </c>
    </row>
    <row r="164" spans="7:36" x14ac:dyDescent="0.3">
      <c r="G164" s="46">
        <v>108230</v>
      </c>
      <c r="H164" s="39" t="s">
        <v>63</v>
      </c>
      <c r="N164" s="30" t="s">
        <v>392</v>
      </c>
      <c r="O164" s="2">
        <v>4</v>
      </c>
      <c r="Q164" s="30">
        <v>1</v>
      </c>
      <c r="R164" s="44">
        <v>109.15</v>
      </c>
      <c r="T164" s="44">
        <v>109.15</v>
      </c>
      <c r="X164" s="5">
        <v>109.15</v>
      </c>
      <c r="Z164" s="54">
        <v>109.15</v>
      </c>
      <c r="AA164" s="30" t="s">
        <v>392</v>
      </c>
      <c r="AB164" s="2">
        <v>4</v>
      </c>
      <c r="AF164" s="46">
        <v>108230</v>
      </c>
      <c r="AG164" s="1" t="s">
        <v>536</v>
      </c>
      <c r="AH164" s="27" t="s">
        <v>63</v>
      </c>
      <c r="AI164" s="6" t="s">
        <v>547</v>
      </c>
      <c r="AJ164" s="46" t="s">
        <v>548</v>
      </c>
    </row>
    <row r="165" spans="7:36" x14ac:dyDescent="0.3">
      <c r="G165" s="46">
        <v>24467076</v>
      </c>
      <c r="H165" s="39" t="s">
        <v>385</v>
      </c>
      <c r="N165" s="30" t="s">
        <v>397</v>
      </c>
      <c r="O165" s="2">
        <v>6</v>
      </c>
      <c r="Q165" s="30">
        <v>2</v>
      </c>
      <c r="R165" s="44">
        <v>54.39</v>
      </c>
      <c r="T165" s="44">
        <v>108.78</v>
      </c>
      <c r="X165" s="5">
        <v>97.54</v>
      </c>
      <c r="Z165" s="55">
        <v>48.77</v>
      </c>
      <c r="AA165" s="30" t="s">
        <v>397</v>
      </c>
      <c r="AB165" s="2">
        <v>6</v>
      </c>
      <c r="AF165" s="46">
        <v>24467076</v>
      </c>
      <c r="AG165" s="1" t="s">
        <v>535</v>
      </c>
      <c r="AH165" s="27" t="s">
        <v>385</v>
      </c>
      <c r="AI165" s="6" t="s">
        <v>547</v>
      </c>
      <c r="AJ165" s="57" t="s">
        <v>548</v>
      </c>
    </row>
    <row r="166" spans="7:36" x14ac:dyDescent="0.3">
      <c r="G166" s="46">
        <v>551705</v>
      </c>
      <c r="H166" s="39" t="s">
        <v>205</v>
      </c>
      <c r="N166" s="30" t="s">
        <v>394</v>
      </c>
      <c r="O166" s="2">
        <v>12</v>
      </c>
      <c r="Q166" s="30">
        <v>12</v>
      </c>
      <c r="R166" s="44">
        <v>8.99</v>
      </c>
      <c r="T166" s="44">
        <v>107.88</v>
      </c>
      <c r="X166" s="5">
        <v>107.88</v>
      </c>
      <c r="Z166" s="54" t="s">
        <v>452</v>
      </c>
      <c r="AA166" s="30" t="s">
        <v>394</v>
      </c>
      <c r="AB166" s="2">
        <v>12</v>
      </c>
      <c r="AF166" s="46">
        <v>551705</v>
      </c>
      <c r="AG166" s="1" t="s">
        <v>534</v>
      </c>
      <c r="AH166" s="27" t="s">
        <v>205</v>
      </c>
      <c r="AI166" s="6" t="s">
        <v>547</v>
      </c>
      <c r="AJ166" s="46" t="s">
        <v>550</v>
      </c>
    </row>
    <row r="167" spans="7:36" x14ac:dyDescent="0.3">
      <c r="G167" s="46">
        <v>135855</v>
      </c>
      <c r="H167" s="39" t="s">
        <v>82</v>
      </c>
      <c r="N167" s="30" t="s">
        <v>398</v>
      </c>
      <c r="O167" s="2">
        <v>500</v>
      </c>
      <c r="Q167" s="30">
        <v>17</v>
      </c>
      <c r="R167" s="44">
        <v>5.9</v>
      </c>
      <c r="T167" s="44">
        <v>100.30000000000001</v>
      </c>
      <c r="X167" s="5">
        <v>62.56</v>
      </c>
      <c r="Z167" s="54">
        <v>3.68</v>
      </c>
      <c r="AA167" s="30" t="s">
        <v>398</v>
      </c>
      <c r="AB167" s="2">
        <v>500</v>
      </c>
      <c r="AF167" s="46">
        <v>135855</v>
      </c>
      <c r="AG167" s="1" t="s">
        <v>538</v>
      </c>
      <c r="AH167" s="27" t="s">
        <v>82</v>
      </c>
      <c r="AI167" s="6" t="s">
        <v>547</v>
      </c>
      <c r="AJ167" s="46" t="s">
        <v>549</v>
      </c>
    </row>
    <row r="168" spans="7:36" x14ac:dyDescent="0.3">
      <c r="G168" s="46">
        <v>816167</v>
      </c>
      <c r="H168" s="39" t="s">
        <v>265</v>
      </c>
      <c r="N168" s="30" t="s">
        <v>394</v>
      </c>
      <c r="O168" s="2">
        <v>12</v>
      </c>
      <c r="Q168" s="30">
        <v>8</v>
      </c>
      <c r="R168" s="44">
        <v>12.09</v>
      </c>
      <c r="T168" s="44">
        <v>96.72</v>
      </c>
      <c r="X168" s="5">
        <v>122.32</v>
      </c>
      <c r="Z168" s="54" t="s">
        <v>490</v>
      </c>
      <c r="AA168" s="30" t="s">
        <v>394</v>
      </c>
      <c r="AB168" s="2">
        <v>12</v>
      </c>
      <c r="AF168" s="46">
        <v>816167</v>
      </c>
      <c r="AG168" s="1" t="s">
        <v>534</v>
      </c>
      <c r="AH168" s="27" t="s">
        <v>265</v>
      </c>
      <c r="AI168" s="6" t="s">
        <v>547</v>
      </c>
      <c r="AJ168" s="46" t="s">
        <v>550</v>
      </c>
    </row>
    <row r="169" spans="7:36" x14ac:dyDescent="0.3">
      <c r="G169" s="46">
        <v>49023</v>
      </c>
      <c r="H169" s="39" t="s">
        <v>54</v>
      </c>
      <c r="N169" s="30" t="s">
        <v>394</v>
      </c>
      <c r="O169" s="2">
        <v>12</v>
      </c>
      <c r="Q169" s="30">
        <v>4</v>
      </c>
      <c r="R169" s="44">
        <v>22.99</v>
      </c>
      <c r="T169" s="44">
        <v>91.96</v>
      </c>
      <c r="X169" s="5">
        <v>91.96</v>
      </c>
      <c r="Z169" s="54" t="s">
        <v>410</v>
      </c>
      <c r="AA169" s="30" t="s">
        <v>394</v>
      </c>
      <c r="AB169" s="2">
        <v>12</v>
      </c>
      <c r="AF169" s="46">
        <v>49023</v>
      </c>
      <c r="AG169" s="1" t="s">
        <v>534</v>
      </c>
      <c r="AH169" s="27" t="s">
        <v>54</v>
      </c>
      <c r="AI169" s="6" t="s">
        <v>547</v>
      </c>
      <c r="AJ169" s="46" t="s">
        <v>550</v>
      </c>
    </row>
    <row r="170" spans="7:36" x14ac:dyDescent="0.3">
      <c r="G170" s="46">
        <v>915659</v>
      </c>
      <c r="H170" s="39" t="s">
        <v>287</v>
      </c>
      <c r="N170" s="30" t="s">
        <v>397</v>
      </c>
      <c r="O170" s="2">
        <v>6</v>
      </c>
      <c r="Q170" s="30">
        <v>1</v>
      </c>
      <c r="R170" s="44">
        <v>89.99</v>
      </c>
      <c r="T170" s="44">
        <v>89.99</v>
      </c>
      <c r="X170" s="5">
        <v>49.63</v>
      </c>
      <c r="Z170" s="54" t="s">
        <v>497</v>
      </c>
      <c r="AA170" s="30" t="s">
        <v>397</v>
      </c>
      <c r="AB170" s="2">
        <v>6</v>
      </c>
      <c r="AF170" s="46">
        <v>915659</v>
      </c>
      <c r="AG170" s="1" t="s">
        <v>535</v>
      </c>
      <c r="AH170" s="27" t="s">
        <v>287</v>
      </c>
      <c r="AI170" s="6" t="s">
        <v>547</v>
      </c>
      <c r="AJ170" s="46" t="s">
        <v>549</v>
      </c>
    </row>
    <row r="171" spans="7:36" x14ac:dyDescent="0.3">
      <c r="G171" s="46">
        <v>24424319</v>
      </c>
      <c r="H171" s="39" t="s">
        <v>369</v>
      </c>
      <c r="N171" s="30" t="s">
        <v>392</v>
      </c>
      <c r="O171" s="2">
        <v>12</v>
      </c>
      <c r="Q171" s="30">
        <v>7</v>
      </c>
      <c r="R171" s="44">
        <v>12.79</v>
      </c>
      <c r="T171" s="44">
        <v>89.53</v>
      </c>
      <c r="X171" s="5">
        <v>89.53</v>
      </c>
      <c r="Z171" s="54" t="s">
        <v>525</v>
      </c>
      <c r="AA171" s="30" t="s">
        <v>392</v>
      </c>
      <c r="AB171" s="2">
        <v>12</v>
      </c>
      <c r="AF171" s="46">
        <v>24424319</v>
      </c>
      <c r="AG171" s="1" t="s">
        <v>534</v>
      </c>
      <c r="AH171" s="27" t="s">
        <v>369</v>
      </c>
      <c r="AI171" s="6" t="s">
        <v>547</v>
      </c>
      <c r="AJ171" s="46" t="s">
        <v>550</v>
      </c>
    </row>
    <row r="172" spans="7:36" x14ac:dyDescent="0.3">
      <c r="G172" s="46">
        <v>689269</v>
      </c>
      <c r="H172" s="39" t="s">
        <v>244</v>
      </c>
      <c r="N172" s="30" t="s">
        <v>392</v>
      </c>
      <c r="O172" s="2">
        <v>2</v>
      </c>
      <c r="Q172" s="30">
        <v>25</v>
      </c>
      <c r="R172" s="44">
        <v>3.54</v>
      </c>
      <c r="T172" s="44">
        <v>88.5</v>
      </c>
      <c r="X172" s="5">
        <v>102.25</v>
      </c>
      <c r="Z172" s="54">
        <v>4.09</v>
      </c>
      <c r="AA172" s="30" t="s">
        <v>392</v>
      </c>
      <c r="AB172" s="2">
        <v>2</v>
      </c>
      <c r="AF172" s="46">
        <v>689269</v>
      </c>
      <c r="AG172" s="1" t="s">
        <v>534</v>
      </c>
      <c r="AH172" s="27" t="s">
        <v>244</v>
      </c>
      <c r="AI172" s="6" t="s">
        <v>547</v>
      </c>
      <c r="AJ172" s="46" t="s">
        <v>548</v>
      </c>
    </row>
    <row r="173" spans="7:36" x14ac:dyDescent="0.3">
      <c r="G173" s="46">
        <v>228452</v>
      </c>
      <c r="H173" s="39" t="s">
        <v>107</v>
      </c>
      <c r="N173" s="30" t="s">
        <v>394</v>
      </c>
      <c r="O173" s="2">
        <v>12</v>
      </c>
      <c r="Q173" s="30">
        <v>6</v>
      </c>
      <c r="R173" s="44">
        <v>14.63</v>
      </c>
      <c r="T173" s="44">
        <v>87.78</v>
      </c>
      <c r="X173" s="5">
        <v>90.48</v>
      </c>
      <c r="Z173" s="54">
        <v>15.08</v>
      </c>
      <c r="AA173" s="30" t="s">
        <v>394</v>
      </c>
      <c r="AB173" s="2">
        <v>12</v>
      </c>
      <c r="AF173" s="46">
        <v>228452</v>
      </c>
      <c r="AG173" s="1" t="s">
        <v>534</v>
      </c>
      <c r="AH173" s="27" t="s">
        <v>107</v>
      </c>
      <c r="AI173" s="6" t="s">
        <v>547</v>
      </c>
      <c r="AJ173" s="46" t="s">
        <v>548</v>
      </c>
    </row>
    <row r="174" spans="7:36" x14ac:dyDescent="0.3">
      <c r="G174" s="46">
        <v>563797</v>
      </c>
      <c r="H174" s="39" t="s">
        <v>211</v>
      </c>
      <c r="N174" s="30" t="s">
        <v>396</v>
      </c>
      <c r="O174" s="2">
        <v>500</v>
      </c>
      <c r="Q174" s="30">
        <v>10</v>
      </c>
      <c r="R174" s="44">
        <v>8</v>
      </c>
      <c r="T174" s="44">
        <v>80</v>
      </c>
      <c r="X174" s="5">
        <v>87.6</v>
      </c>
      <c r="Z174" s="54">
        <v>8.76</v>
      </c>
      <c r="AA174" s="30" t="s">
        <v>396</v>
      </c>
      <c r="AB174" s="2">
        <v>500</v>
      </c>
      <c r="AF174" s="46">
        <v>563797</v>
      </c>
      <c r="AG174" s="1" t="s">
        <v>542</v>
      </c>
      <c r="AH174" s="27" t="s">
        <v>211</v>
      </c>
      <c r="AI174" s="6" t="s">
        <v>547</v>
      </c>
      <c r="AJ174" s="46" t="s">
        <v>548</v>
      </c>
    </row>
    <row r="175" spans="7:36" x14ac:dyDescent="0.3">
      <c r="G175" s="46">
        <v>2431991</v>
      </c>
      <c r="H175" s="39" t="s">
        <v>325</v>
      </c>
      <c r="N175" s="30" t="s">
        <v>395</v>
      </c>
      <c r="O175" s="2">
        <v>1</v>
      </c>
      <c r="Q175" s="30">
        <v>1</v>
      </c>
      <c r="R175" s="44">
        <v>76.989999999999995</v>
      </c>
      <c r="T175" s="44">
        <v>76.989999999999995</v>
      </c>
      <c r="X175" s="5">
        <v>76.989999999999995</v>
      </c>
      <c r="Z175" s="54" t="s">
        <v>512</v>
      </c>
      <c r="AA175" s="30" t="s">
        <v>395</v>
      </c>
      <c r="AB175" s="2">
        <v>1</v>
      </c>
      <c r="AF175" s="46">
        <v>2431991</v>
      </c>
      <c r="AG175" s="1" t="s">
        <v>534</v>
      </c>
      <c r="AH175" s="27" t="s">
        <v>325</v>
      </c>
      <c r="AI175" s="6" t="s">
        <v>547</v>
      </c>
      <c r="AJ175" s="46" t="s">
        <v>550</v>
      </c>
    </row>
    <row r="176" spans="7:36" x14ac:dyDescent="0.3">
      <c r="G176" s="46" t="s">
        <v>49</v>
      </c>
      <c r="H176" s="39" t="s">
        <v>551</v>
      </c>
      <c r="N176" s="30" t="s">
        <v>400</v>
      </c>
      <c r="O176" s="2">
        <v>12</v>
      </c>
      <c r="Q176" s="30">
        <v>5</v>
      </c>
      <c r="R176" s="44">
        <v>15.290000000000001</v>
      </c>
      <c r="T176" s="44">
        <v>76.45</v>
      </c>
      <c r="X176" s="5">
        <v>76.449999999999989</v>
      </c>
      <c r="Z176" s="54" t="s">
        <v>490</v>
      </c>
      <c r="AA176" s="30" t="s">
        <v>400</v>
      </c>
      <c r="AB176" s="2">
        <v>12</v>
      </c>
      <c r="AF176" s="46" t="s">
        <v>49</v>
      </c>
      <c r="AG176" s="1" t="s">
        <v>534</v>
      </c>
      <c r="AH176" s="27" t="s">
        <v>551</v>
      </c>
      <c r="AI176" s="6" t="s">
        <v>547</v>
      </c>
      <c r="AJ176" s="46" t="s">
        <v>550</v>
      </c>
    </row>
    <row r="177" spans="7:36" x14ac:dyDescent="0.3">
      <c r="G177" s="46">
        <v>24343769</v>
      </c>
      <c r="H177" s="39" t="s">
        <v>347</v>
      </c>
      <c r="N177" s="30" t="s">
        <v>392</v>
      </c>
      <c r="O177" s="2">
        <v>3</v>
      </c>
      <c r="Q177" s="30">
        <v>1</v>
      </c>
      <c r="R177" s="44">
        <v>74.989999999999995</v>
      </c>
      <c r="T177" s="44">
        <v>74.989999999999995</v>
      </c>
      <c r="X177" s="5">
        <v>74.989999999999995</v>
      </c>
      <c r="Z177" s="54" t="s">
        <v>519</v>
      </c>
      <c r="AA177" s="30" t="s">
        <v>392</v>
      </c>
      <c r="AB177" s="2">
        <v>3</v>
      </c>
      <c r="AF177" s="46">
        <v>24343769</v>
      </c>
      <c r="AG177" s="1" t="s">
        <v>534</v>
      </c>
      <c r="AH177" s="27" t="s">
        <v>347</v>
      </c>
      <c r="AI177" s="6" t="s">
        <v>547</v>
      </c>
      <c r="AJ177" s="46" t="s">
        <v>550</v>
      </c>
    </row>
    <row r="178" spans="7:36" x14ac:dyDescent="0.3">
      <c r="G178" s="46">
        <v>12933</v>
      </c>
      <c r="H178" s="39" t="s">
        <v>50</v>
      </c>
      <c r="N178" s="30" t="s">
        <v>392</v>
      </c>
      <c r="O178" s="2">
        <v>300</v>
      </c>
      <c r="Q178" s="30">
        <v>5</v>
      </c>
      <c r="R178" s="44">
        <v>14.79</v>
      </c>
      <c r="T178" s="44">
        <v>73.949999999999989</v>
      </c>
      <c r="X178" s="5">
        <v>73.949999999999989</v>
      </c>
      <c r="Z178" s="54" t="s">
        <v>407</v>
      </c>
      <c r="AA178" s="30" t="s">
        <v>392</v>
      </c>
      <c r="AB178" s="2">
        <v>300</v>
      </c>
      <c r="AC178" s="6"/>
      <c r="AD178" s="6"/>
      <c r="AE178" s="6"/>
      <c r="AF178" s="46">
        <v>12933</v>
      </c>
      <c r="AG178" s="1" t="s">
        <v>534</v>
      </c>
      <c r="AH178" s="27" t="s">
        <v>50</v>
      </c>
      <c r="AI178" s="6" t="s">
        <v>547</v>
      </c>
      <c r="AJ178" s="46" t="s">
        <v>550</v>
      </c>
    </row>
    <row r="179" spans="7:36" x14ac:dyDescent="0.3">
      <c r="G179" s="46">
        <v>210492</v>
      </c>
      <c r="H179" s="39" t="s">
        <v>104</v>
      </c>
      <c r="N179" s="30" t="s">
        <v>395</v>
      </c>
      <c r="O179" s="2">
        <v>1</v>
      </c>
      <c r="Q179" s="30">
        <v>5</v>
      </c>
      <c r="R179" s="44">
        <v>14.45</v>
      </c>
      <c r="T179" s="44">
        <v>72.25</v>
      </c>
      <c r="X179" s="5">
        <v>112.44999999999999</v>
      </c>
      <c r="Z179" s="54" t="s">
        <v>428</v>
      </c>
      <c r="AA179" s="30" t="s">
        <v>395</v>
      </c>
      <c r="AB179" s="2">
        <v>1</v>
      </c>
      <c r="AF179" s="46">
        <v>210492</v>
      </c>
      <c r="AG179" s="1" t="s">
        <v>534</v>
      </c>
      <c r="AH179" s="27" t="s">
        <v>104</v>
      </c>
      <c r="AI179" s="6" t="s">
        <v>547</v>
      </c>
      <c r="AJ179" s="46" t="s">
        <v>550</v>
      </c>
    </row>
    <row r="180" spans="7:36" x14ac:dyDescent="0.3">
      <c r="G180" s="46">
        <v>24385249</v>
      </c>
      <c r="H180" s="39" t="s">
        <v>354</v>
      </c>
      <c r="N180" s="30" t="s">
        <v>392</v>
      </c>
      <c r="O180" s="2">
        <v>12</v>
      </c>
      <c r="Q180" s="30">
        <v>6</v>
      </c>
      <c r="R180" s="44">
        <v>11.79</v>
      </c>
      <c r="T180" s="44">
        <v>70.739999999999995</v>
      </c>
      <c r="X180" s="5">
        <v>70.739999999999995</v>
      </c>
      <c r="Z180" s="54" t="s">
        <v>489</v>
      </c>
      <c r="AA180" s="30" t="s">
        <v>392</v>
      </c>
      <c r="AB180" s="2">
        <v>12</v>
      </c>
      <c r="AF180" s="46">
        <v>24385249</v>
      </c>
      <c r="AG180" s="1" t="s">
        <v>535</v>
      </c>
      <c r="AH180" s="27" t="s">
        <v>354</v>
      </c>
      <c r="AI180" s="6" t="s">
        <v>547</v>
      </c>
      <c r="AJ180" s="46" t="s">
        <v>550</v>
      </c>
    </row>
    <row r="181" spans="7:36" x14ac:dyDescent="0.3">
      <c r="G181" s="46">
        <v>24377308</v>
      </c>
      <c r="H181" s="39" t="s">
        <v>352</v>
      </c>
      <c r="N181" s="30" t="s">
        <v>405</v>
      </c>
      <c r="O181" s="2">
        <v>1</v>
      </c>
      <c r="Q181" s="30">
        <v>12</v>
      </c>
      <c r="R181" s="44">
        <v>5.79</v>
      </c>
      <c r="T181" s="44">
        <v>69.48</v>
      </c>
      <c r="X181" s="5">
        <v>69.48</v>
      </c>
      <c r="Z181" s="54">
        <v>5.79</v>
      </c>
      <c r="AA181" s="30" t="s">
        <v>405</v>
      </c>
      <c r="AB181" s="2">
        <v>1</v>
      </c>
      <c r="AF181" s="46">
        <v>24377308</v>
      </c>
      <c r="AG181" s="1" t="s">
        <v>534</v>
      </c>
      <c r="AH181" s="27" t="s">
        <v>352</v>
      </c>
      <c r="AI181" s="6" t="s">
        <v>547</v>
      </c>
      <c r="AJ181" s="46" t="s">
        <v>550</v>
      </c>
    </row>
    <row r="182" spans="7:36" x14ac:dyDescent="0.3">
      <c r="G182" s="46">
        <v>260265</v>
      </c>
      <c r="H182" s="39" t="s">
        <v>114</v>
      </c>
      <c r="N182" s="30" t="s">
        <v>396</v>
      </c>
      <c r="O182" s="2">
        <v>600</v>
      </c>
      <c r="Q182" s="30">
        <v>2</v>
      </c>
      <c r="R182" s="44">
        <v>34.21</v>
      </c>
      <c r="T182" s="44">
        <v>68.42</v>
      </c>
      <c r="X182" s="5">
        <v>54.46</v>
      </c>
      <c r="Z182" s="54">
        <v>27.23</v>
      </c>
      <c r="AA182" s="30" t="s">
        <v>396</v>
      </c>
      <c r="AB182" s="2">
        <v>600</v>
      </c>
      <c r="AF182" s="46">
        <v>260265</v>
      </c>
      <c r="AG182" s="1" t="s">
        <v>534</v>
      </c>
      <c r="AH182" s="27" t="s">
        <v>114</v>
      </c>
      <c r="AI182" s="6" t="s">
        <v>547</v>
      </c>
      <c r="AJ182" s="46" t="s">
        <v>549</v>
      </c>
    </row>
    <row r="183" spans="7:36" x14ac:dyDescent="0.3">
      <c r="G183" s="46">
        <v>614400</v>
      </c>
      <c r="H183" s="39" t="s">
        <v>227</v>
      </c>
      <c r="N183" s="30" t="s">
        <v>392</v>
      </c>
      <c r="O183" s="2">
        <v>100</v>
      </c>
      <c r="Q183" s="30">
        <v>9</v>
      </c>
      <c r="R183" s="44">
        <v>7.59</v>
      </c>
      <c r="T183" s="44">
        <v>68.31</v>
      </c>
      <c r="X183" s="5">
        <v>35.19</v>
      </c>
      <c r="Z183" s="54">
        <v>3.91</v>
      </c>
      <c r="AA183" s="30" t="s">
        <v>392</v>
      </c>
      <c r="AB183" s="2">
        <v>100</v>
      </c>
      <c r="AF183" s="46">
        <v>614400</v>
      </c>
      <c r="AG183" s="1" t="s">
        <v>534</v>
      </c>
      <c r="AH183" s="27" t="s">
        <v>227</v>
      </c>
      <c r="AI183" s="6" t="s">
        <v>547</v>
      </c>
      <c r="AJ183" s="46" t="s">
        <v>549</v>
      </c>
    </row>
    <row r="184" spans="7:36" x14ac:dyDescent="0.3">
      <c r="G184" s="46">
        <v>917860</v>
      </c>
      <c r="H184" s="39" t="s">
        <v>289</v>
      </c>
      <c r="N184" s="30" t="s">
        <v>395</v>
      </c>
      <c r="O184" s="2">
        <v>1</v>
      </c>
      <c r="Q184" s="30">
        <v>5</v>
      </c>
      <c r="R184" s="44">
        <v>13.49</v>
      </c>
      <c r="T184" s="44">
        <v>67.45</v>
      </c>
      <c r="X184" s="5">
        <v>48.099999999999994</v>
      </c>
      <c r="Z184" s="54" t="s">
        <v>498</v>
      </c>
      <c r="AA184" s="30" t="s">
        <v>395</v>
      </c>
      <c r="AB184" s="2">
        <v>1</v>
      </c>
      <c r="AF184" s="46">
        <v>917860</v>
      </c>
      <c r="AG184" s="1" t="s">
        <v>539</v>
      </c>
      <c r="AH184" s="27" t="s">
        <v>289</v>
      </c>
      <c r="AI184" s="6" t="s">
        <v>547</v>
      </c>
      <c r="AJ184" s="46" t="s">
        <v>549</v>
      </c>
    </row>
    <row r="185" spans="7:36" x14ac:dyDescent="0.3">
      <c r="G185" s="46">
        <v>617219</v>
      </c>
      <c r="H185" s="39" t="s">
        <v>229</v>
      </c>
      <c r="N185" s="30" t="s">
        <v>395</v>
      </c>
      <c r="O185" s="2">
        <v>1</v>
      </c>
      <c r="Q185" s="30">
        <v>1</v>
      </c>
      <c r="R185" s="44">
        <v>66.989999999999995</v>
      </c>
      <c r="T185" s="44">
        <v>66.989999999999995</v>
      </c>
      <c r="X185" s="5">
        <v>66.989999999999995</v>
      </c>
      <c r="Z185" s="54" t="s">
        <v>475</v>
      </c>
      <c r="AA185" s="30" t="s">
        <v>395</v>
      </c>
      <c r="AB185" s="2">
        <v>1</v>
      </c>
      <c r="AF185" s="46">
        <v>617219</v>
      </c>
      <c r="AG185" s="1" t="s">
        <v>541</v>
      </c>
      <c r="AH185" s="27" t="s">
        <v>229</v>
      </c>
      <c r="AI185" s="6" t="s">
        <v>547</v>
      </c>
      <c r="AJ185" s="46" t="s">
        <v>550</v>
      </c>
    </row>
    <row r="186" spans="7:36" x14ac:dyDescent="0.3">
      <c r="G186" s="46">
        <v>2623092</v>
      </c>
      <c r="H186" s="39" t="s">
        <v>332</v>
      </c>
      <c r="N186" s="30" t="s">
        <v>404</v>
      </c>
      <c r="O186" s="2">
        <v>100</v>
      </c>
      <c r="Q186" s="30">
        <v>2</v>
      </c>
      <c r="R186" s="44">
        <v>32.99</v>
      </c>
      <c r="T186" s="44">
        <v>65.98</v>
      </c>
      <c r="X186" s="5">
        <v>65.98</v>
      </c>
      <c r="Z186" s="54">
        <v>32.99</v>
      </c>
      <c r="AA186" s="30" t="s">
        <v>404</v>
      </c>
      <c r="AB186" s="2">
        <v>100</v>
      </c>
      <c r="AF186" s="46">
        <v>2623092</v>
      </c>
      <c r="AG186" s="1" t="s">
        <v>545</v>
      </c>
      <c r="AH186" s="27" t="s">
        <v>332</v>
      </c>
      <c r="AI186" s="6" t="s">
        <v>547</v>
      </c>
      <c r="AJ186" s="46" t="s">
        <v>550</v>
      </c>
    </row>
    <row r="187" spans="7:36" x14ac:dyDescent="0.3">
      <c r="G187" s="46">
        <v>209882</v>
      </c>
      <c r="H187" s="39" t="s">
        <v>103</v>
      </c>
      <c r="N187" s="30" t="s">
        <v>396</v>
      </c>
      <c r="O187" s="2">
        <v>3000</v>
      </c>
      <c r="Q187" s="30">
        <v>2</v>
      </c>
      <c r="R187" s="44">
        <v>32.65</v>
      </c>
      <c r="T187" s="44">
        <v>65.3</v>
      </c>
      <c r="X187" s="5">
        <v>43.42</v>
      </c>
      <c r="Z187" s="54">
        <v>21.71</v>
      </c>
      <c r="AA187" s="30" t="s">
        <v>396</v>
      </c>
      <c r="AB187" s="2">
        <v>3000</v>
      </c>
      <c r="AF187" s="46">
        <v>209882</v>
      </c>
      <c r="AG187" s="1" t="s">
        <v>534</v>
      </c>
      <c r="AH187" s="27" t="s">
        <v>103</v>
      </c>
      <c r="AI187" s="6" t="s">
        <v>547</v>
      </c>
      <c r="AJ187" s="46" t="s">
        <v>549</v>
      </c>
    </row>
    <row r="188" spans="7:36" x14ac:dyDescent="0.3">
      <c r="G188" s="46">
        <v>512467</v>
      </c>
      <c r="H188" s="39" t="s">
        <v>197</v>
      </c>
      <c r="N188" s="30" t="s">
        <v>396</v>
      </c>
      <c r="O188" s="2">
        <v>1600</v>
      </c>
      <c r="Q188" s="30">
        <v>1</v>
      </c>
      <c r="R188" s="44">
        <v>63.99</v>
      </c>
      <c r="T188" s="44">
        <v>63.99</v>
      </c>
      <c r="X188" s="5">
        <v>63.99</v>
      </c>
      <c r="Z188" s="54" t="s">
        <v>467</v>
      </c>
      <c r="AA188" s="30" t="s">
        <v>396</v>
      </c>
      <c r="AB188" s="2">
        <v>1600</v>
      </c>
      <c r="AF188" s="46">
        <v>512467</v>
      </c>
      <c r="AG188" s="1" t="s">
        <v>534</v>
      </c>
      <c r="AH188" s="27" t="s">
        <v>197</v>
      </c>
      <c r="AI188" s="6" t="s">
        <v>547</v>
      </c>
      <c r="AJ188" s="46" t="s">
        <v>550</v>
      </c>
    </row>
    <row r="189" spans="7:36" x14ac:dyDescent="0.3">
      <c r="G189" s="46">
        <v>503396</v>
      </c>
      <c r="H189" s="39" t="s">
        <v>188</v>
      </c>
      <c r="N189" s="30" t="s">
        <v>397</v>
      </c>
      <c r="O189" s="2">
        <v>80</v>
      </c>
      <c r="Q189" s="30">
        <v>1</v>
      </c>
      <c r="R189" s="44">
        <v>63.99</v>
      </c>
      <c r="T189" s="44">
        <v>63.99</v>
      </c>
      <c r="X189" s="5">
        <v>50.72</v>
      </c>
      <c r="Z189" s="54">
        <v>50.72</v>
      </c>
      <c r="AA189" s="30" t="s">
        <v>397</v>
      </c>
      <c r="AB189" s="2">
        <v>80</v>
      </c>
      <c r="AF189" s="46">
        <v>503396</v>
      </c>
      <c r="AG189" s="1" t="s">
        <v>535</v>
      </c>
      <c r="AH189" s="27" t="s">
        <v>188</v>
      </c>
      <c r="AI189" s="6" t="s">
        <v>547</v>
      </c>
      <c r="AJ189" s="46" t="s">
        <v>549</v>
      </c>
    </row>
    <row r="190" spans="7:36" x14ac:dyDescent="0.3">
      <c r="G190" s="46">
        <v>792739</v>
      </c>
      <c r="H190" s="39" t="s">
        <v>255</v>
      </c>
      <c r="N190" s="30" t="s">
        <v>395</v>
      </c>
      <c r="O190" s="2">
        <v>1</v>
      </c>
      <c r="Q190" s="30">
        <v>4</v>
      </c>
      <c r="R190" s="44">
        <v>15.89</v>
      </c>
      <c r="T190" s="44">
        <v>63.56</v>
      </c>
      <c r="X190" s="5">
        <v>44.28</v>
      </c>
      <c r="Z190" s="54" t="s">
        <v>487</v>
      </c>
      <c r="AA190" s="30" t="s">
        <v>395</v>
      </c>
      <c r="AB190" s="2">
        <v>1</v>
      </c>
      <c r="AF190" s="46">
        <v>792739</v>
      </c>
      <c r="AG190" s="1" t="s">
        <v>535</v>
      </c>
      <c r="AH190" s="27" t="s">
        <v>255</v>
      </c>
      <c r="AI190" s="6" t="s">
        <v>547</v>
      </c>
      <c r="AJ190" s="46" t="s">
        <v>549</v>
      </c>
    </row>
    <row r="191" spans="7:36" x14ac:dyDescent="0.3">
      <c r="G191" s="46">
        <v>917913</v>
      </c>
      <c r="H191" s="39" t="s">
        <v>293</v>
      </c>
      <c r="N191" s="30" t="s">
        <v>392</v>
      </c>
      <c r="O191" s="2">
        <v>2</v>
      </c>
      <c r="Q191" s="30">
        <v>3</v>
      </c>
      <c r="R191" s="44">
        <v>20.59</v>
      </c>
      <c r="T191" s="44">
        <v>61.769999999999996</v>
      </c>
      <c r="X191" s="5">
        <v>61.769999999999996</v>
      </c>
      <c r="Z191" s="54">
        <v>20.59</v>
      </c>
      <c r="AA191" s="30" t="s">
        <v>392</v>
      </c>
      <c r="AB191" s="2">
        <v>2</v>
      </c>
      <c r="AF191" s="46">
        <v>917913</v>
      </c>
      <c r="AG191" s="1" t="s">
        <v>539</v>
      </c>
      <c r="AH191" s="27" t="s">
        <v>293</v>
      </c>
      <c r="AI191" s="6" t="s">
        <v>547</v>
      </c>
      <c r="AJ191" s="46" t="s">
        <v>548</v>
      </c>
    </row>
    <row r="192" spans="7:36" x14ac:dyDescent="0.3">
      <c r="G192" s="46">
        <v>41302</v>
      </c>
      <c r="H192" s="39" t="s">
        <v>52</v>
      </c>
      <c r="N192" s="30" t="s">
        <v>392</v>
      </c>
      <c r="O192" s="2">
        <v>36</v>
      </c>
      <c r="Q192" s="30">
        <v>2</v>
      </c>
      <c r="R192" s="44">
        <v>30.49</v>
      </c>
      <c r="T192" s="44">
        <v>60.98</v>
      </c>
      <c r="X192" s="5">
        <v>60.98</v>
      </c>
      <c r="Z192" s="54" t="s">
        <v>408</v>
      </c>
      <c r="AA192" s="30" t="s">
        <v>392</v>
      </c>
      <c r="AB192" s="2">
        <v>36</v>
      </c>
      <c r="AF192" s="46">
        <v>41302</v>
      </c>
      <c r="AG192" s="1" t="s">
        <v>534</v>
      </c>
      <c r="AH192" s="27" t="s">
        <v>52</v>
      </c>
      <c r="AI192" s="6" t="s">
        <v>547</v>
      </c>
      <c r="AJ192" s="46" t="s">
        <v>550</v>
      </c>
    </row>
    <row r="193" spans="7:36" x14ac:dyDescent="0.3">
      <c r="G193" s="46">
        <v>917883</v>
      </c>
      <c r="H193" s="39" t="s">
        <v>291</v>
      </c>
      <c r="N193" s="30" t="s">
        <v>395</v>
      </c>
      <c r="O193" s="2">
        <v>1</v>
      </c>
      <c r="Q193" s="30">
        <v>4</v>
      </c>
      <c r="R193" s="44">
        <v>14.99</v>
      </c>
      <c r="T193" s="44">
        <v>59.96</v>
      </c>
      <c r="X193" s="5">
        <v>63.96</v>
      </c>
      <c r="Z193" s="54" t="s">
        <v>499</v>
      </c>
      <c r="AA193" s="30" t="s">
        <v>395</v>
      </c>
      <c r="AB193" s="2">
        <v>1</v>
      </c>
      <c r="AF193" s="46">
        <v>917883</v>
      </c>
      <c r="AG193" s="1" t="s">
        <v>539</v>
      </c>
      <c r="AH193" s="27" t="s">
        <v>291</v>
      </c>
      <c r="AI193" s="6" t="s">
        <v>547</v>
      </c>
      <c r="AJ193" s="46" t="s">
        <v>550</v>
      </c>
    </row>
    <row r="194" spans="7:36" x14ac:dyDescent="0.3">
      <c r="G194" s="46">
        <v>163865</v>
      </c>
      <c r="H194" s="39" t="s">
        <v>89</v>
      </c>
      <c r="N194" s="30" t="s">
        <v>394</v>
      </c>
      <c r="O194" s="2">
        <v>12</v>
      </c>
      <c r="Q194" s="30">
        <v>4</v>
      </c>
      <c r="R194" s="44">
        <v>14.99</v>
      </c>
      <c r="T194" s="44">
        <v>59.96</v>
      </c>
      <c r="X194" s="5">
        <v>19.559999999999999</v>
      </c>
      <c r="Z194" s="54" t="s">
        <v>429</v>
      </c>
      <c r="AA194" s="30" t="s">
        <v>394</v>
      </c>
      <c r="AB194" s="2">
        <v>12</v>
      </c>
      <c r="AF194" s="46">
        <v>163865</v>
      </c>
      <c r="AG194" s="1" t="s">
        <v>534</v>
      </c>
      <c r="AH194" s="27" t="s">
        <v>89</v>
      </c>
      <c r="AI194" s="6" t="s">
        <v>547</v>
      </c>
      <c r="AJ194" s="46" t="s">
        <v>549</v>
      </c>
    </row>
    <row r="195" spans="7:36" x14ac:dyDescent="0.3">
      <c r="G195" s="46">
        <v>1684921</v>
      </c>
      <c r="H195" s="39" t="s">
        <v>309</v>
      </c>
      <c r="N195" s="30" t="s">
        <v>395</v>
      </c>
      <c r="O195" s="2">
        <v>1</v>
      </c>
      <c r="Q195" s="30">
        <v>6</v>
      </c>
      <c r="R195" s="44">
        <v>9.7899999999999991</v>
      </c>
      <c r="T195" s="44">
        <v>58.739999999999995</v>
      </c>
      <c r="X195" s="5">
        <v>61.86</v>
      </c>
      <c r="Z195" s="54" t="s">
        <v>505</v>
      </c>
      <c r="AA195" s="30" t="s">
        <v>395</v>
      </c>
      <c r="AB195" s="2">
        <v>1</v>
      </c>
      <c r="AF195" s="46">
        <v>1684921</v>
      </c>
      <c r="AG195" s="1" t="s">
        <v>542</v>
      </c>
      <c r="AH195" s="27" t="s">
        <v>309</v>
      </c>
      <c r="AI195" s="6" t="s">
        <v>547</v>
      </c>
      <c r="AJ195" s="46" t="s">
        <v>549</v>
      </c>
    </row>
    <row r="196" spans="7:36" x14ac:dyDescent="0.3">
      <c r="G196" s="46">
        <v>612997</v>
      </c>
      <c r="H196" s="39" t="s">
        <v>226</v>
      </c>
      <c r="N196" s="30" t="s">
        <v>396</v>
      </c>
      <c r="O196" s="2">
        <v>200</v>
      </c>
      <c r="Q196" s="30">
        <v>2</v>
      </c>
      <c r="R196" s="44">
        <v>28.99</v>
      </c>
      <c r="T196" s="44">
        <v>57.98</v>
      </c>
      <c r="X196" s="5">
        <v>57.98</v>
      </c>
      <c r="Z196" s="54" t="s">
        <v>474</v>
      </c>
      <c r="AA196" s="30" t="s">
        <v>396</v>
      </c>
      <c r="AB196" s="2">
        <v>200</v>
      </c>
      <c r="AF196" s="46">
        <v>612997</v>
      </c>
      <c r="AG196" s="1" t="s">
        <v>534</v>
      </c>
      <c r="AH196" s="27" t="s">
        <v>226</v>
      </c>
      <c r="AI196" s="6" t="s">
        <v>547</v>
      </c>
      <c r="AJ196" s="46" t="s">
        <v>550</v>
      </c>
    </row>
    <row r="197" spans="7:36" x14ac:dyDescent="0.3">
      <c r="G197" s="46">
        <v>180682</v>
      </c>
      <c r="H197" s="39" t="s">
        <v>98</v>
      </c>
      <c r="N197" s="30" t="s">
        <v>392</v>
      </c>
      <c r="O197" s="2">
        <v>3</v>
      </c>
      <c r="Q197" s="30">
        <v>1</v>
      </c>
      <c r="R197" s="44">
        <v>57.94</v>
      </c>
      <c r="T197" s="44">
        <v>57.94</v>
      </c>
      <c r="X197" s="5">
        <v>60.99</v>
      </c>
      <c r="Z197" s="54" t="s">
        <v>433</v>
      </c>
      <c r="AA197" s="30" t="s">
        <v>392</v>
      </c>
      <c r="AB197" s="2">
        <v>3</v>
      </c>
      <c r="AF197" s="46">
        <v>180682</v>
      </c>
      <c r="AG197" s="1" t="s">
        <v>536</v>
      </c>
      <c r="AH197" s="27" t="s">
        <v>98</v>
      </c>
      <c r="AI197" s="6" t="s">
        <v>547</v>
      </c>
      <c r="AJ197" s="46" t="s">
        <v>550</v>
      </c>
    </row>
    <row r="198" spans="7:36" x14ac:dyDescent="0.3">
      <c r="G198" s="46">
        <v>2802493</v>
      </c>
      <c r="H198" s="39" t="s">
        <v>339</v>
      </c>
      <c r="N198" s="30" t="s">
        <v>395</v>
      </c>
      <c r="O198" s="2">
        <v>1</v>
      </c>
      <c r="Q198" s="30">
        <v>3</v>
      </c>
      <c r="R198" s="44">
        <v>19.190000000000001</v>
      </c>
      <c r="T198" s="44">
        <v>57.570000000000007</v>
      </c>
      <c r="X198" s="5">
        <v>59.37</v>
      </c>
      <c r="Z198" s="54" t="s">
        <v>503</v>
      </c>
      <c r="AA198" s="30" t="s">
        <v>395</v>
      </c>
      <c r="AB198" s="2">
        <v>1</v>
      </c>
      <c r="AF198" s="46">
        <v>2802493</v>
      </c>
      <c r="AG198" s="1" t="s">
        <v>542</v>
      </c>
      <c r="AH198" s="27" t="s">
        <v>339</v>
      </c>
      <c r="AI198" s="6" t="s">
        <v>547</v>
      </c>
      <c r="AJ198" s="46" t="s">
        <v>550</v>
      </c>
    </row>
    <row r="199" spans="7:36" x14ac:dyDescent="0.3">
      <c r="G199" s="46">
        <v>657501</v>
      </c>
      <c r="H199" s="39" t="s">
        <v>241</v>
      </c>
      <c r="N199" s="30" t="s">
        <v>396</v>
      </c>
      <c r="O199" s="2">
        <v>130</v>
      </c>
      <c r="Q199" s="30">
        <v>5</v>
      </c>
      <c r="R199" s="44">
        <v>11.23</v>
      </c>
      <c r="T199" s="44">
        <v>56.150000000000006</v>
      </c>
      <c r="X199" s="5">
        <v>60.45</v>
      </c>
      <c r="Z199" s="54">
        <v>12.09</v>
      </c>
      <c r="AA199" s="30" t="s">
        <v>396</v>
      </c>
      <c r="AB199" s="2">
        <v>130</v>
      </c>
      <c r="AF199" s="46">
        <v>657501</v>
      </c>
      <c r="AG199" s="1" t="s">
        <v>535</v>
      </c>
      <c r="AH199" s="27" t="s">
        <v>241</v>
      </c>
      <c r="AI199" s="6" t="s">
        <v>547</v>
      </c>
      <c r="AJ199" s="46" t="s">
        <v>548</v>
      </c>
    </row>
    <row r="200" spans="7:36" x14ac:dyDescent="0.3">
      <c r="G200" s="46">
        <v>481437</v>
      </c>
      <c r="H200" s="39" t="s">
        <v>165</v>
      </c>
      <c r="N200" s="30" t="s">
        <v>392</v>
      </c>
      <c r="O200" s="2">
        <v>36</v>
      </c>
      <c r="Q200" s="30">
        <v>6</v>
      </c>
      <c r="R200" s="44">
        <v>9.2899999999999991</v>
      </c>
      <c r="T200" s="44">
        <v>55.739999999999995</v>
      </c>
      <c r="X200" s="5">
        <v>55.739999999999995</v>
      </c>
      <c r="Z200" s="54" t="s">
        <v>455</v>
      </c>
      <c r="AA200" s="30" t="s">
        <v>392</v>
      </c>
      <c r="AB200" s="2">
        <v>36</v>
      </c>
      <c r="AF200" s="46">
        <v>481437</v>
      </c>
      <c r="AG200" s="1" t="s">
        <v>534</v>
      </c>
      <c r="AH200" s="27" t="s">
        <v>165</v>
      </c>
      <c r="AI200" s="6" t="s">
        <v>547</v>
      </c>
      <c r="AJ200" s="46" t="s">
        <v>550</v>
      </c>
    </row>
    <row r="201" spans="7:36" x14ac:dyDescent="0.3">
      <c r="G201" s="46">
        <v>24467075</v>
      </c>
      <c r="H201" s="39" t="s">
        <v>384</v>
      </c>
      <c r="N201" s="30" t="s">
        <v>395</v>
      </c>
      <c r="O201" s="2">
        <v>1</v>
      </c>
      <c r="Q201" s="30">
        <v>4</v>
      </c>
      <c r="R201" s="44">
        <v>13.59</v>
      </c>
      <c r="T201" s="44">
        <v>54.36</v>
      </c>
      <c r="X201" s="5">
        <v>54.36</v>
      </c>
      <c r="Z201" s="54" t="s">
        <v>529</v>
      </c>
      <c r="AA201" s="30" t="s">
        <v>395</v>
      </c>
      <c r="AB201" s="2">
        <v>1</v>
      </c>
      <c r="AF201" s="46">
        <v>24467075</v>
      </c>
      <c r="AG201" s="1" t="s">
        <v>535</v>
      </c>
      <c r="AH201" s="27" t="s">
        <v>384</v>
      </c>
      <c r="AI201" s="6" t="s">
        <v>547</v>
      </c>
      <c r="AJ201" s="46" t="s">
        <v>550</v>
      </c>
    </row>
    <row r="202" spans="7:36" x14ac:dyDescent="0.3">
      <c r="G202" s="46">
        <v>917892</v>
      </c>
      <c r="H202" s="39" t="s">
        <v>292</v>
      </c>
      <c r="N202" s="30" t="s">
        <v>395</v>
      </c>
      <c r="O202" s="2">
        <v>1</v>
      </c>
      <c r="Q202" s="30">
        <v>4</v>
      </c>
      <c r="R202" s="44">
        <v>13.49</v>
      </c>
      <c r="T202" s="44">
        <v>53.96</v>
      </c>
      <c r="X202" s="5">
        <v>53.96</v>
      </c>
      <c r="Z202" s="54" t="s">
        <v>500</v>
      </c>
      <c r="AA202" s="30" t="s">
        <v>395</v>
      </c>
      <c r="AB202" s="2">
        <v>1</v>
      </c>
      <c r="AF202" s="46">
        <v>917892</v>
      </c>
      <c r="AG202" s="1" t="s">
        <v>539</v>
      </c>
      <c r="AH202" s="27" t="s">
        <v>292</v>
      </c>
      <c r="AI202" s="6" t="s">
        <v>547</v>
      </c>
      <c r="AJ202" s="46" t="s">
        <v>550</v>
      </c>
    </row>
    <row r="203" spans="7:36" x14ac:dyDescent="0.3">
      <c r="G203" s="46">
        <v>2614446</v>
      </c>
      <c r="H203" s="39" t="s">
        <v>331</v>
      </c>
      <c r="N203" s="30" t="s">
        <v>395</v>
      </c>
      <c r="O203" s="2">
        <v>1</v>
      </c>
      <c r="Q203" s="30">
        <v>4</v>
      </c>
      <c r="R203" s="44">
        <v>13.29</v>
      </c>
      <c r="T203" s="44">
        <v>53.16</v>
      </c>
      <c r="X203" s="5">
        <v>53.16</v>
      </c>
      <c r="Z203" s="54" t="s">
        <v>438</v>
      </c>
      <c r="AA203" s="30" t="s">
        <v>395</v>
      </c>
      <c r="AB203" s="2">
        <v>1</v>
      </c>
      <c r="AF203" s="46">
        <v>2614446</v>
      </c>
      <c r="AG203" s="1" t="s">
        <v>539</v>
      </c>
      <c r="AH203" s="27" t="s">
        <v>331</v>
      </c>
      <c r="AI203" s="6" t="s">
        <v>547</v>
      </c>
      <c r="AJ203" s="46" t="s">
        <v>550</v>
      </c>
    </row>
    <row r="204" spans="7:36" x14ac:dyDescent="0.3">
      <c r="G204" s="46">
        <v>50549</v>
      </c>
      <c r="H204" s="39" t="s">
        <v>57</v>
      </c>
      <c r="N204" s="30" t="s">
        <v>392</v>
      </c>
      <c r="O204" s="2">
        <v>30</v>
      </c>
      <c r="Q204" s="30">
        <v>1</v>
      </c>
      <c r="R204" s="44">
        <v>50.99</v>
      </c>
      <c r="T204" s="44">
        <v>50.99</v>
      </c>
      <c r="X204" s="5">
        <v>50.99</v>
      </c>
      <c r="Z204" s="54" t="s">
        <v>413</v>
      </c>
      <c r="AA204" s="30" t="s">
        <v>392</v>
      </c>
      <c r="AB204" s="2">
        <v>30</v>
      </c>
      <c r="AF204" s="46">
        <v>50549</v>
      </c>
      <c r="AG204" s="1" t="s">
        <v>534</v>
      </c>
      <c r="AH204" s="27" t="s">
        <v>57</v>
      </c>
      <c r="AI204" s="6" t="s">
        <v>547</v>
      </c>
      <c r="AJ204" s="46" t="s">
        <v>550</v>
      </c>
    </row>
    <row r="205" spans="7:36" x14ac:dyDescent="0.3">
      <c r="G205" s="46">
        <v>681801</v>
      </c>
      <c r="H205" s="39" t="s">
        <v>243</v>
      </c>
      <c r="N205" s="30" t="s">
        <v>396</v>
      </c>
      <c r="O205" s="2">
        <v>400</v>
      </c>
      <c r="Q205" s="30">
        <v>1</v>
      </c>
      <c r="R205" s="44">
        <v>50.99</v>
      </c>
      <c r="T205" s="44">
        <v>50.99</v>
      </c>
      <c r="X205" s="5">
        <v>50.99</v>
      </c>
      <c r="Z205" s="54" t="s">
        <v>413</v>
      </c>
      <c r="AA205" s="30" t="s">
        <v>396</v>
      </c>
      <c r="AB205" s="2">
        <v>400</v>
      </c>
      <c r="AF205" s="46">
        <v>681801</v>
      </c>
      <c r="AG205" s="1" t="s">
        <v>538</v>
      </c>
      <c r="AH205" s="27" t="s">
        <v>243</v>
      </c>
      <c r="AI205" s="6" t="s">
        <v>547</v>
      </c>
      <c r="AJ205" s="46" t="s">
        <v>550</v>
      </c>
    </row>
    <row r="206" spans="7:36" x14ac:dyDescent="0.3">
      <c r="G206" s="46">
        <v>168229</v>
      </c>
      <c r="H206" s="39" t="s">
        <v>95</v>
      </c>
      <c r="N206" s="30" t="s">
        <v>396</v>
      </c>
      <c r="O206" s="2">
        <v>100</v>
      </c>
      <c r="Q206" s="30">
        <v>3</v>
      </c>
      <c r="R206" s="44">
        <v>16.59</v>
      </c>
      <c r="T206" s="44">
        <v>49.769999999999996</v>
      </c>
      <c r="X206" s="5">
        <v>53.97</v>
      </c>
      <c r="Z206" s="54" t="s">
        <v>411</v>
      </c>
      <c r="AA206" s="30" t="s">
        <v>396</v>
      </c>
      <c r="AB206" s="2">
        <v>100</v>
      </c>
      <c r="AF206" s="46">
        <v>168229</v>
      </c>
      <c r="AG206" s="1" t="s">
        <v>538</v>
      </c>
      <c r="AH206" s="27" t="s">
        <v>95</v>
      </c>
      <c r="AI206" s="6" t="s">
        <v>547</v>
      </c>
      <c r="AJ206" s="46" t="s">
        <v>550</v>
      </c>
    </row>
    <row r="207" spans="7:36" x14ac:dyDescent="0.3">
      <c r="G207" s="46">
        <v>271155</v>
      </c>
      <c r="H207" s="39" t="s">
        <v>115</v>
      </c>
      <c r="N207" s="30" t="s">
        <v>400</v>
      </c>
      <c r="O207" s="2">
        <v>12</v>
      </c>
      <c r="Q207" s="30">
        <v>10</v>
      </c>
      <c r="R207" s="44">
        <v>4.93</v>
      </c>
      <c r="T207" s="44">
        <v>49.3</v>
      </c>
      <c r="X207" s="5">
        <v>119.9</v>
      </c>
      <c r="Z207" s="54">
        <v>11.99</v>
      </c>
      <c r="AA207" s="30" t="s">
        <v>400</v>
      </c>
      <c r="AB207" s="2">
        <v>12</v>
      </c>
      <c r="AF207" s="46">
        <v>271155</v>
      </c>
      <c r="AG207" s="1" t="s">
        <v>534</v>
      </c>
      <c r="AH207" s="27" t="s">
        <v>115</v>
      </c>
      <c r="AI207" s="6" t="s">
        <v>547</v>
      </c>
      <c r="AJ207" s="46" t="s">
        <v>550</v>
      </c>
    </row>
    <row r="208" spans="7:36" x14ac:dyDescent="0.3">
      <c r="G208" s="46">
        <v>508312</v>
      </c>
      <c r="H208" s="39" t="s">
        <v>194</v>
      </c>
      <c r="N208" s="30" t="s">
        <v>396</v>
      </c>
      <c r="O208" s="2">
        <v>10</v>
      </c>
      <c r="Q208" s="30">
        <v>1</v>
      </c>
      <c r="R208" s="44">
        <v>48.49</v>
      </c>
      <c r="T208" s="44">
        <v>48.49</v>
      </c>
      <c r="X208" s="5">
        <v>48.49</v>
      </c>
      <c r="Z208" s="54" t="s">
        <v>466</v>
      </c>
      <c r="AA208" s="30" t="s">
        <v>396</v>
      </c>
      <c r="AB208" s="2">
        <v>10</v>
      </c>
      <c r="AF208" s="46">
        <v>508312</v>
      </c>
      <c r="AG208" s="1" t="s">
        <v>534</v>
      </c>
      <c r="AH208" s="27" t="s">
        <v>194</v>
      </c>
      <c r="AI208" s="6" t="s">
        <v>547</v>
      </c>
      <c r="AJ208" s="46" t="s">
        <v>550</v>
      </c>
    </row>
    <row r="209" spans="7:36" x14ac:dyDescent="0.3">
      <c r="G209" s="46">
        <v>297705</v>
      </c>
      <c r="H209" s="39" t="s">
        <v>120</v>
      </c>
      <c r="N209" s="30" t="s">
        <v>392</v>
      </c>
      <c r="O209" s="2">
        <v>1008</v>
      </c>
      <c r="Q209" s="30">
        <v>7</v>
      </c>
      <c r="R209" s="44">
        <v>6.75</v>
      </c>
      <c r="T209" s="44">
        <v>47.25</v>
      </c>
      <c r="X209" s="5">
        <v>93.03</v>
      </c>
      <c r="Z209" s="54" t="s">
        <v>438</v>
      </c>
      <c r="AA209" s="30" t="s">
        <v>392</v>
      </c>
      <c r="AB209" s="2">
        <v>1008</v>
      </c>
      <c r="AF209" s="46">
        <v>297705</v>
      </c>
      <c r="AG209" s="1" t="s">
        <v>534</v>
      </c>
      <c r="AH209" s="27" t="s">
        <v>120</v>
      </c>
      <c r="AI209" s="6" t="s">
        <v>547</v>
      </c>
      <c r="AJ209" s="46" t="s">
        <v>550</v>
      </c>
    </row>
    <row r="210" spans="7:36" x14ac:dyDescent="0.3">
      <c r="G210" s="46">
        <v>403704</v>
      </c>
      <c r="H210" s="39" t="s">
        <v>136</v>
      </c>
      <c r="N210" s="30" t="s">
        <v>397</v>
      </c>
      <c r="O210" s="2">
        <v>1000</v>
      </c>
      <c r="Q210" s="30">
        <v>1</v>
      </c>
      <c r="R210" s="44">
        <v>46.99</v>
      </c>
      <c r="T210" s="44">
        <v>46.99</v>
      </c>
      <c r="X210" s="5">
        <v>46.99</v>
      </c>
      <c r="Z210" s="54" t="s">
        <v>446</v>
      </c>
      <c r="AA210" s="30" t="s">
        <v>397</v>
      </c>
      <c r="AB210" s="2">
        <v>1000</v>
      </c>
      <c r="AF210" s="46">
        <v>403704</v>
      </c>
      <c r="AG210" s="1" t="s">
        <v>535</v>
      </c>
      <c r="AH210" s="27" t="s">
        <v>136</v>
      </c>
      <c r="AI210" s="6" t="s">
        <v>547</v>
      </c>
      <c r="AJ210" s="46" t="s">
        <v>550</v>
      </c>
    </row>
    <row r="211" spans="7:36" x14ac:dyDescent="0.3">
      <c r="G211" s="46">
        <v>472514</v>
      </c>
      <c r="H211" s="39" t="s">
        <v>155</v>
      </c>
      <c r="N211" s="30" t="s">
        <v>392</v>
      </c>
      <c r="O211" s="2">
        <v>1000</v>
      </c>
      <c r="Q211" s="30">
        <v>8</v>
      </c>
      <c r="R211" s="44">
        <v>5.87</v>
      </c>
      <c r="T211" s="44">
        <v>46.96</v>
      </c>
      <c r="X211" s="5">
        <v>30</v>
      </c>
      <c r="Z211" s="54">
        <v>3.75</v>
      </c>
      <c r="AA211" s="30" t="s">
        <v>392</v>
      </c>
      <c r="AB211" s="2">
        <v>1000</v>
      </c>
      <c r="AF211" s="46">
        <v>472514</v>
      </c>
      <c r="AG211" s="1" t="s">
        <v>534</v>
      </c>
      <c r="AH211" s="27" t="s">
        <v>155</v>
      </c>
      <c r="AI211" s="6" t="s">
        <v>547</v>
      </c>
      <c r="AJ211" s="46" t="s">
        <v>549</v>
      </c>
    </row>
    <row r="212" spans="7:36" x14ac:dyDescent="0.3">
      <c r="G212" s="46">
        <v>620702</v>
      </c>
      <c r="H212" s="39" t="s">
        <v>231</v>
      </c>
      <c r="N212" s="30" t="s">
        <v>392</v>
      </c>
      <c r="O212" s="2">
        <v>250</v>
      </c>
      <c r="Q212" s="30">
        <v>1</v>
      </c>
      <c r="R212" s="44">
        <v>45.49</v>
      </c>
      <c r="T212" s="44">
        <v>45.49</v>
      </c>
      <c r="X212" s="5">
        <v>45.49</v>
      </c>
      <c r="Z212" s="54" t="s">
        <v>477</v>
      </c>
      <c r="AA212" s="30" t="s">
        <v>392</v>
      </c>
      <c r="AB212" s="2">
        <v>250</v>
      </c>
      <c r="AF212" s="46">
        <v>620702</v>
      </c>
      <c r="AG212" s="1" t="s">
        <v>538</v>
      </c>
      <c r="AH212" s="27" t="s">
        <v>231</v>
      </c>
      <c r="AI212" s="6" t="s">
        <v>547</v>
      </c>
      <c r="AJ212" s="46" t="s">
        <v>550</v>
      </c>
    </row>
    <row r="213" spans="7:36" x14ac:dyDescent="0.3">
      <c r="G213" s="46">
        <v>356652</v>
      </c>
      <c r="H213" s="39" t="s">
        <v>127</v>
      </c>
      <c r="N213" s="30" t="s">
        <v>392</v>
      </c>
      <c r="O213" s="2">
        <v>6</v>
      </c>
      <c r="Q213" s="30">
        <v>2</v>
      </c>
      <c r="R213" s="44">
        <v>22.69</v>
      </c>
      <c r="T213" s="44">
        <v>45.38</v>
      </c>
      <c r="X213" s="5">
        <v>64.98</v>
      </c>
      <c r="Z213" s="54" t="s">
        <v>444</v>
      </c>
      <c r="AA213" s="30" t="s">
        <v>392</v>
      </c>
      <c r="AB213" s="2">
        <v>6</v>
      </c>
      <c r="AF213" s="46">
        <v>356652</v>
      </c>
      <c r="AG213" s="1" t="s">
        <v>539</v>
      </c>
      <c r="AH213" s="27" t="s">
        <v>127</v>
      </c>
      <c r="AI213" s="6" t="s">
        <v>547</v>
      </c>
      <c r="AJ213" s="46" t="s">
        <v>550</v>
      </c>
    </row>
    <row r="214" spans="7:36" x14ac:dyDescent="0.3">
      <c r="G214" s="46">
        <v>862157</v>
      </c>
      <c r="H214" s="39" t="s">
        <v>278</v>
      </c>
      <c r="N214" s="30" t="s">
        <v>392</v>
      </c>
      <c r="O214" s="2">
        <v>250</v>
      </c>
      <c r="Q214" s="30">
        <v>3</v>
      </c>
      <c r="R214" s="44">
        <v>15</v>
      </c>
      <c r="T214" s="44">
        <v>45</v>
      </c>
      <c r="X214" s="5">
        <v>73.47</v>
      </c>
      <c r="Z214" s="54" t="s">
        <v>494</v>
      </c>
      <c r="AA214" s="30" t="s">
        <v>392</v>
      </c>
      <c r="AB214" s="2">
        <v>250</v>
      </c>
      <c r="AF214" s="46">
        <v>862157</v>
      </c>
      <c r="AG214" s="1" t="s">
        <v>538</v>
      </c>
      <c r="AH214" s="27" t="s">
        <v>278</v>
      </c>
      <c r="AI214" s="6" t="s">
        <v>547</v>
      </c>
      <c r="AJ214" s="46" t="s">
        <v>550</v>
      </c>
    </row>
    <row r="215" spans="7:36" x14ac:dyDescent="0.3">
      <c r="G215" s="46">
        <v>721678</v>
      </c>
      <c r="H215" s="39" t="s">
        <v>247</v>
      </c>
      <c r="N215" s="30" t="s">
        <v>397</v>
      </c>
      <c r="O215" s="2">
        <v>500</v>
      </c>
      <c r="Q215" s="30">
        <v>1</v>
      </c>
      <c r="R215" s="44">
        <v>44.49</v>
      </c>
      <c r="T215" s="44">
        <v>44.49</v>
      </c>
      <c r="X215" s="5">
        <v>44.49</v>
      </c>
      <c r="Z215" s="54" t="s">
        <v>484</v>
      </c>
      <c r="AA215" s="30" t="s">
        <v>397</v>
      </c>
      <c r="AB215" s="2">
        <v>500</v>
      </c>
      <c r="AF215" s="46">
        <v>721678</v>
      </c>
      <c r="AG215" s="1" t="s">
        <v>542</v>
      </c>
      <c r="AH215" s="27" t="s">
        <v>247</v>
      </c>
      <c r="AI215" s="6" t="s">
        <v>547</v>
      </c>
      <c r="AJ215" s="46" t="s">
        <v>550</v>
      </c>
    </row>
    <row r="216" spans="7:36" x14ac:dyDescent="0.3">
      <c r="G216" s="46" t="s">
        <v>45</v>
      </c>
      <c r="H216" s="39" t="s">
        <v>390</v>
      </c>
      <c r="N216" s="30" t="s">
        <v>406</v>
      </c>
      <c r="O216" s="2">
        <v>1</v>
      </c>
      <c r="Q216" s="30">
        <v>1</v>
      </c>
      <c r="R216" s="44">
        <v>44.49</v>
      </c>
      <c r="T216" s="44">
        <v>44.49</v>
      </c>
      <c r="X216" s="5">
        <v>44.49</v>
      </c>
      <c r="Z216" s="54" t="s">
        <v>484</v>
      </c>
      <c r="AA216" s="30" t="s">
        <v>406</v>
      </c>
      <c r="AB216" s="2">
        <v>1</v>
      </c>
      <c r="AF216" s="46" t="s">
        <v>45</v>
      </c>
      <c r="AG216" s="1" t="s">
        <v>542</v>
      </c>
      <c r="AH216" s="27" t="s">
        <v>390</v>
      </c>
      <c r="AI216" s="6" t="s">
        <v>547</v>
      </c>
      <c r="AJ216" s="46" t="s">
        <v>550</v>
      </c>
    </row>
    <row r="217" spans="7:36" x14ac:dyDescent="0.3">
      <c r="G217" s="46">
        <v>2519636</v>
      </c>
      <c r="H217" s="39" t="s">
        <v>329</v>
      </c>
      <c r="N217" s="30" t="s">
        <v>392</v>
      </c>
      <c r="O217" s="2">
        <v>2</v>
      </c>
      <c r="Q217" s="30">
        <v>7</v>
      </c>
      <c r="R217" s="44">
        <v>6.29</v>
      </c>
      <c r="T217" s="44">
        <v>44.03</v>
      </c>
      <c r="X217" s="5">
        <v>44.03</v>
      </c>
      <c r="Z217" s="54" t="s">
        <v>480</v>
      </c>
      <c r="AA217" s="30" t="s">
        <v>392</v>
      </c>
      <c r="AB217" s="2">
        <v>2</v>
      </c>
      <c r="AF217" s="46">
        <v>2519636</v>
      </c>
      <c r="AG217" s="1" t="s">
        <v>535</v>
      </c>
      <c r="AH217" s="27" t="s">
        <v>329</v>
      </c>
      <c r="AI217" s="6" t="s">
        <v>547</v>
      </c>
      <c r="AJ217" s="46" t="s">
        <v>550</v>
      </c>
    </row>
    <row r="218" spans="7:36" x14ac:dyDescent="0.3">
      <c r="G218" s="46">
        <v>489562</v>
      </c>
      <c r="H218" s="39" t="s">
        <v>173</v>
      </c>
      <c r="N218" s="30" t="s">
        <v>395</v>
      </c>
      <c r="O218" s="2">
        <v>1</v>
      </c>
      <c r="Q218" s="30">
        <v>8</v>
      </c>
      <c r="R218" s="44">
        <v>5.48</v>
      </c>
      <c r="T218" s="44">
        <v>43.84</v>
      </c>
      <c r="X218" s="5">
        <v>32.32</v>
      </c>
      <c r="Z218" s="54" t="s">
        <v>460</v>
      </c>
      <c r="AA218" s="30" t="s">
        <v>395</v>
      </c>
      <c r="AB218" s="2">
        <v>1</v>
      </c>
      <c r="AF218" s="46">
        <v>489562</v>
      </c>
      <c r="AG218" s="1" t="s">
        <v>534</v>
      </c>
      <c r="AH218" s="27" t="s">
        <v>173</v>
      </c>
      <c r="AI218" s="6" t="s">
        <v>547</v>
      </c>
      <c r="AJ218" s="46" t="s">
        <v>550</v>
      </c>
    </row>
    <row r="219" spans="7:36" x14ac:dyDescent="0.3">
      <c r="G219" s="46">
        <v>24395827</v>
      </c>
      <c r="H219" s="39" t="s">
        <v>358</v>
      </c>
      <c r="N219" s="30" t="s">
        <v>392</v>
      </c>
      <c r="O219" s="2">
        <v>2</v>
      </c>
      <c r="Q219" s="30">
        <v>1</v>
      </c>
      <c r="R219" s="44">
        <v>42.99</v>
      </c>
      <c r="T219" s="44">
        <v>42.99</v>
      </c>
      <c r="X219" s="5">
        <v>42.99</v>
      </c>
      <c r="Z219" s="54" t="s">
        <v>523</v>
      </c>
      <c r="AA219" s="30" t="s">
        <v>392</v>
      </c>
      <c r="AB219" s="2">
        <v>2</v>
      </c>
      <c r="AF219" s="46">
        <v>24395827</v>
      </c>
      <c r="AG219" s="1" t="s">
        <v>539</v>
      </c>
      <c r="AH219" s="27" t="s">
        <v>358</v>
      </c>
      <c r="AI219" s="6" t="s">
        <v>547</v>
      </c>
      <c r="AJ219" s="46" t="s">
        <v>550</v>
      </c>
    </row>
    <row r="220" spans="7:36" x14ac:dyDescent="0.3">
      <c r="G220" s="46">
        <v>2366319</v>
      </c>
      <c r="H220" s="39" t="s">
        <v>324</v>
      </c>
      <c r="N220" s="30" t="s">
        <v>395</v>
      </c>
      <c r="O220" s="2">
        <v>1</v>
      </c>
      <c r="Q220" s="30">
        <v>1</v>
      </c>
      <c r="R220" s="44">
        <v>42.66</v>
      </c>
      <c r="T220" s="44">
        <v>42.66</v>
      </c>
      <c r="X220" s="5">
        <v>42.66</v>
      </c>
      <c r="Z220" s="54" t="s">
        <v>511</v>
      </c>
      <c r="AA220" s="30" t="s">
        <v>395</v>
      </c>
      <c r="AB220" s="2">
        <v>1</v>
      </c>
      <c r="AF220" s="46">
        <v>2366319</v>
      </c>
      <c r="AG220" s="1" t="s">
        <v>534</v>
      </c>
      <c r="AH220" s="27" t="s">
        <v>324</v>
      </c>
      <c r="AI220" s="6" t="s">
        <v>547</v>
      </c>
      <c r="AJ220" s="46" t="s">
        <v>550</v>
      </c>
    </row>
    <row r="221" spans="7:36" x14ac:dyDescent="0.3">
      <c r="G221" s="46">
        <v>24401951</v>
      </c>
      <c r="H221" s="39" t="s">
        <v>366</v>
      </c>
      <c r="N221" s="30" t="s">
        <v>396</v>
      </c>
      <c r="O221" s="2">
        <v>120</v>
      </c>
      <c r="Q221" s="30">
        <v>2</v>
      </c>
      <c r="R221" s="44">
        <v>20.99</v>
      </c>
      <c r="T221" s="44">
        <v>41.98</v>
      </c>
      <c r="X221" s="5">
        <v>41.98</v>
      </c>
      <c r="Z221" s="54" t="s">
        <v>506</v>
      </c>
      <c r="AA221" s="30" t="s">
        <v>396</v>
      </c>
      <c r="AB221" s="2">
        <v>120</v>
      </c>
      <c r="AF221" s="46">
        <v>24401951</v>
      </c>
      <c r="AG221" s="1" t="s">
        <v>535</v>
      </c>
      <c r="AH221" s="27" t="s">
        <v>366</v>
      </c>
      <c r="AI221" s="6" t="s">
        <v>547</v>
      </c>
      <c r="AJ221" s="46" t="s">
        <v>550</v>
      </c>
    </row>
    <row r="222" spans="7:36" x14ac:dyDescent="0.3">
      <c r="G222" s="46">
        <v>463380</v>
      </c>
      <c r="H222" s="39" t="s">
        <v>147</v>
      </c>
      <c r="N222" s="30" t="s">
        <v>395</v>
      </c>
      <c r="O222" s="2">
        <v>1</v>
      </c>
      <c r="Q222" s="30">
        <v>23</v>
      </c>
      <c r="R222" s="44">
        <v>1.8</v>
      </c>
      <c r="T222" s="44">
        <v>41.4</v>
      </c>
      <c r="X222" s="5">
        <v>41.4</v>
      </c>
      <c r="Z222" s="54">
        <v>1.8</v>
      </c>
      <c r="AA222" s="30" t="s">
        <v>395</v>
      </c>
      <c r="AB222" s="2">
        <v>1</v>
      </c>
      <c r="AF222" s="46">
        <v>463380</v>
      </c>
      <c r="AG222" s="1" t="s">
        <v>534</v>
      </c>
      <c r="AH222" s="27" t="s">
        <v>147</v>
      </c>
      <c r="AI222" s="6" t="s">
        <v>547</v>
      </c>
      <c r="AJ222" s="46" t="s">
        <v>548</v>
      </c>
    </row>
    <row r="223" spans="7:36" x14ac:dyDescent="0.3">
      <c r="G223" s="46">
        <v>163873</v>
      </c>
      <c r="H223" s="39" t="s">
        <v>90</v>
      </c>
      <c r="N223" s="30" t="s">
        <v>392</v>
      </c>
      <c r="O223" s="2">
        <v>12</v>
      </c>
      <c r="Q223" s="30">
        <v>4</v>
      </c>
      <c r="R223" s="44">
        <v>10.29</v>
      </c>
      <c r="T223" s="44">
        <v>41.16</v>
      </c>
      <c r="X223" s="5">
        <v>14.84</v>
      </c>
      <c r="Z223" s="54" t="s">
        <v>430</v>
      </c>
      <c r="AA223" s="30" t="s">
        <v>392</v>
      </c>
      <c r="AB223" s="2">
        <v>12</v>
      </c>
      <c r="AF223" s="46">
        <v>163873</v>
      </c>
      <c r="AG223" s="1" t="s">
        <v>534</v>
      </c>
      <c r="AH223" s="27" t="s">
        <v>90</v>
      </c>
      <c r="AI223" s="6" t="s">
        <v>547</v>
      </c>
      <c r="AJ223" s="46" t="s">
        <v>549</v>
      </c>
    </row>
    <row r="224" spans="7:36" x14ac:dyDescent="0.3">
      <c r="G224" s="46">
        <v>1928436</v>
      </c>
      <c r="H224" s="39" t="s">
        <v>315</v>
      </c>
      <c r="N224" s="30" t="s">
        <v>396</v>
      </c>
      <c r="O224" s="2">
        <v>12</v>
      </c>
      <c r="Q224" s="30">
        <v>2</v>
      </c>
      <c r="R224" s="44">
        <v>19.29</v>
      </c>
      <c r="T224" s="44">
        <v>38.58</v>
      </c>
      <c r="X224" s="5">
        <v>38.58</v>
      </c>
      <c r="Z224" s="54" t="s">
        <v>509</v>
      </c>
      <c r="AA224" s="30" t="s">
        <v>396</v>
      </c>
      <c r="AB224" s="2">
        <v>12</v>
      </c>
      <c r="AF224" s="46">
        <v>1928436</v>
      </c>
      <c r="AG224" s="1" t="s">
        <v>534</v>
      </c>
      <c r="AH224" s="27" t="s">
        <v>315</v>
      </c>
      <c r="AI224" s="6" t="s">
        <v>547</v>
      </c>
      <c r="AJ224" s="46" t="s">
        <v>550</v>
      </c>
    </row>
    <row r="225" spans="7:36" x14ac:dyDescent="0.3">
      <c r="G225" s="46">
        <v>831594</v>
      </c>
      <c r="H225" s="39" t="s">
        <v>272</v>
      </c>
      <c r="N225" s="30" t="s">
        <v>392</v>
      </c>
      <c r="O225" s="2">
        <v>40</v>
      </c>
      <c r="Q225" s="30">
        <v>8</v>
      </c>
      <c r="R225" s="44">
        <v>4.79</v>
      </c>
      <c r="T225" s="44">
        <v>38.32</v>
      </c>
      <c r="X225" s="5">
        <v>5.44</v>
      </c>
      <c r="Z225" s="54">
        <v>0.68</v>
      </c>
      <c r="AA225" s="30" t="s">
        <v>392</v>
      </c>
      <c r="AB225" s="2">
        <v>40</v>
      </c>
      <c r="AF225" s="46">
        <v>831594</v>
      </c>
      <c r="AG225" s="1" t="s">
        <v>534</v>
      </c>
      <c r="AH225" s="27" t="s">
        <v>272</v>
      </c>
      <c r="AI225" s="6" t="s">
        <v>547</v>
      </c>
      <c r="AJ225" s="46" t="s">
        <v>549</v>
      </c>
    </row>
    <row r="226" spans="7:36" x14ac:dyDescent="0.3">
      <c r="G226" s="46">
        <v>901513</v>
      </c>
      <c r="H226" s="39" t="s">
        <v>282</v>
      </c>
      <c r="N226" s="30" t="s">
        <v>395</v>
      </c>
      <c r="O226" s="2">
        <v>1</v>
      </c>
      <c r="Q226" s="30">
        <v>2</v>
      </c>
      <c r="R226" s="44">
        <v>18.29</v>
      </c>
      <c r="T226" s="44">
        <v>36.58</v>
      </c>
      <c r="X226" s="5">
        <v>36.58</v>
      </c>
      <c r="Z226" s="54" t="s">
        <v>496</v>
      </c>
      <c r="AA226" s="30" t="s">
        <v>395</v>
      </c>
      <c r="AB226" s="2">
        <v>1</v>
      </c>
      <c r="AF226" s="46">
        <v>901513</v>
      </c>
      <c r="AG226" s="1" t="s">
        <v>534</v>
      </c>
      <c r="AH226" s="27" t="s">
        <v>282</v>
      </c>
      <c r="AI226" s="6" t="s">
        <v>547</v>
      </c>
      <c r="AJ226" s="46" t="s">
        <v>550</v>
      </c>
    </row>
    <row r="227" spans="7:36" x14ac:dyDescent="0.3">
      <c r="G227" s="46">
        <v>24418175</v>
      </c>
      <c r="H227" s="39" t="s">
        <v>367</v>
      </c>
      <c r="N227" s="30" t="s">
        <v>396</v>
      </c>
      <c r="O227" s="2">
        <v>25000</v>
      </c>
      <c r="Q227" s="30">
        <v>7</v>
      </c>
      <c r="R227" s="44">
        <v>5.16</v>
      </c>
      <c r="T227" s="44">
        <v>36.120000000000005</v>
      </c>
      <c r="X227" s="5">
        <v>75.53</v>
      </c>
      <c r="Z227" s="54" t="s">
        <v>524</v>
      </c>
      <c r="AA227" s="30" t="s">
        <v>396</v>
      </c>
      <c r="AB227" s="2">
        <v>25000</v>
      </c>
      <c r="AF227" s="46">
        <v>24418175</v>
      </c>
      <c r="AG227" s="1" t="s">
        <v>534</v>
      </c>
      <c r="AH227" s="27" t="s">
        <v>367</v>
      </c>
      <c r="AI227" s="6" t="s">
        <v>547</v>
      </c>
      <c r="AJ227" s="46" t="s">
        <v>550</v>
      </c>
    </row>
    <row r="228" spans="7:36" x14ac:dyDescent="0.3">
      <c r="G228" s="46">
        <v>49024</v>
      </c>
      <c r="H228" s="39" t="s">
        <v>55</v>
      </c>
      <c r="N228" s="30" t="s">
        <v>394</v>
      </c>
      <c r="O228" s="2">
        <v>12</v>
      </c>
      <c r="Q228" s="30">
        <v>2</v>
      </c>
      <c r="R228" s="44">
        <v>17.989999999999998</v>
      </c>
      <c r="T228" s="44">
        <v>35.979999999999997</v>
      </c>
      <c r="X228" s="5">
        <v>35.979999999999997</v>
      </c>
      <c r="Z228" s="54" t="s">
        <v>411</v>
      </c>
      <c r="AA228" s="30" t="s">
        <v>394</v>
      </c>
      <c r="AB228" s="2">
        <v>12</v>
      </c>
      <c r="AF228" s="46">
        <v>49024</v>
      </c>
      <c r="AG228" s="1" t="s">
        <v>534</v>
      </c>
      <c r="AH228" s="27" t="s">
        <v>55</v>
      </c>
      <c r="AI228" s="6" t="s">
        <v>547</v>
      </c>
      <c r="AJ228" s="46" t="s">
        <v>550</v>
      </c>
    </row>
    <row r="229" spans="7:36" x14ac:dyDescent="0.3">
      <c r="G229" s="46">
        <v>24424327</v>
      </c>
      <c r="H229" s="39" t="s">
        <v>371</v>
      </c>
      <c r="N229" s="30" t="s">
        <v>395</v>
      </c>
      <c r="O229" s="2">
        <v>1</v>
      </c>
      <c r="Q229" s="30">
        <v>6</v>
      </c>
      <c r="R229" s="44">
        <v>5.99</v>
      </c>
      <c r="T229" s="44">
        <v>35.94</v>
      </c>
      <c r="X229" s="5">
        <v>35.94</v>
      </c>
      <c r="Z229" s="54" t="s">
        <v>481</v>
      </c>
      <c r="AA229" s="30" t="s">
        <v>395</v>
      </c>
      <c r="AB229" s="2">
        <v>1</v>
      </c>
      <c r="AF229" s="46">
        <v>24424327</v>
      </c>
      <c r="AG229" s="1" t="s">
        <v>539</v>
      </c>
      <c r="AH229" s="27" t="s">
        <v>371</v>
      </c>
      <c r="AI229" s="6" t="s">
        <v>547</v>
      </c>
      <c r="AJ229" s="46" t="s">
        <v>550</v>
      </c>
    </row>
    <row r="230" spans="7:36" x14ac:dyDescent="0.3">
      <c r="G230" s="46">
        <v>51165</v>
      </c>
      <c r="H230" s="39" t="s">
        <v>58</v>
      </c>
      <c r="N230" s="30" t="s">
        <v>394</v>
      </c>
      <c r="O230" s="2">
        <v>12</v>
      </c>
      <c r="Q230" s="30">
        <v>2</v>
      </c>
      <c r="R230" s="44">
        <v>17.489999999999998</v>
      </c>
      <c r="T230" s="44">
        <v>34.979999999999997</v>
      </c>
      <c r="X230" s="5">
        <v>9.82</v>
      </c>
      <c r="Z230" s="54" t="s">
        <v>414</v>
      </c>
      <c r="AA230" s="30" t="s">
        <v>394</v>
      </c>
      <c r="AB230" s="2">
        <v>12</v>
      </c>
      <c r="AF230" s="46">
        <v>51165</v>
      </c>
      <c r="AG230" s="1" t="s">
        <v>534</v>
      </c>
      <c r="AH230" s="27" t="s">
        <v>58</v>
      </c>
      <c r="AI230" s="6" t="s">
        <v>547</v>
      </c>
      <c r="AJ230" s="46" t="s">
        <v>549</v>
      </c>
    </row>
    <row r="231" spans="7:36" x14ac:dyDescent="0.3">
      <c r="G231" s="46">
        <v>280354</v>
      </c>
      <c r="H231" s="39" t="s">
        <v>117</v>
      </c>
      <c r="N231" s="30" t="s">
        <v>392</v>
      </c>
      <c r="O231" s="2">
        <v>3</v>
      </c>
      <c r="Q231" s="30">
        <v>6</v>
      </c>
      <c r="R231" s="44">
        <v>5.79</v>
      </c>
      <c r="T231" s="44">
        <v>34.74</v>
      </c>
      <c r="X231" s="5">
        <v>34.74</v>
      </c>
      <c r="Z231" s="54" t="s">
        <v>418</v>
      </c>
      <c r="AA231" s="30" t="s">
        <v>392</v>
      </c>
      <c r="AB231" s="2">
        <v>3</v>
      </c>
      <c r="AF231" s="46">
        <v>280354</v>
      </c>
      <c r="AG231" s="1" t="s">
        <v>534</v>
      </c>
      <c r="AH231" s="27" t="s">
        <v>117</v>
      </c>
      <c r="AI231" s="6" t="s">
        <v>547</v>
      </c>
      <c r="AJ231" s="46" t="s">
        <v>550</v>
      </c>
    </row>
    <row r="232" spans="7:36" x14ac:dyDescent="0.3">
      <c r="G232" s="46" t="s">
        <v>44</v>
      </c>
      <c r="H232" s="39" t="s">
        <v>389</v>
      </c>
      <c r="N232" s="30" t="s">
        <v>405</v>
      </c>
      <c r="O232" s="2">
        <v>3</v>
      </c>
      <c r="Q232" s="30">
        <v>1</v>
      </c>
      <c r="R232" s="44">
        <v>34.49</v>
      </c>
      <c r="T232" s="44">
        <v>34.49</v>
      </c>
      <c r="X232" s="5">
        <v>34.49</v>
      </c>
      <c r="Z232" s="54" t="s">
        <v>531</v>
      </c>
      <c r="AA232" s="30" t="s">
        <v>405</v>
      </c>
      <c r="AB232" s="2">
        <v>3</v>
      </c>
      <c r="AF232" s="46" t="s">
        <v>44</v>
      </c>
      <c r="AG232" s="1" t="s">
        <v>534</v>
      </c>
      <c r="AH232" s="27" t="s">
        <v>389</v>
      </c>
      <c r="AI232" s="6" t="s">
        <v>547</v>
      </c>
      <c r="AJ232" s="46" t="s">
        <v>550</v>
      </c>
    </row>
    <row r="233" spans="7:36" x14ac:dyDescent="0.3">
      <c r="G233" s="46">
        <v>565444</v>
      </c>
      <c r="H233" s="39" t="s">
        <v>212</v>
      </c>
      <c r="N233" s="30" t="s">
        <v>392</v>
      </c>
      <c r="O233" s="2">
        <v>6</v>
      </c>
      <c r="Q233" s="30">
        <v>8</v>
      </c>
      <c r="R233" s="44">
        <v>4.29</v>
      </c>
      <c r="T233" s="44">
        <v>34.32</v>
      </c>
      <c r="X233" s="5">
        <v>34.32</v>
      </c>
      <c r="Z233" s="54" t="s">
        <v>422</v>
      </c>
      <c r="AA233" s="30" t="s">
        <v>392</v>
      </c>
      <c r="AB233" s="2">
        <v>6</v>
      </c>
      <c r="AF233" s="46">
        <v>565444</v>
      </c>
      <c r="AG233" s="1" t="s">
        <v>534</v>
      </c>
      <c r="AH233" s="27" t="s">
        <v>212</v>
      </c>
      <c r="AI233" s="6" t="s">
        <v>547</v>
      </c>
      <c r="AJ233" s="46" t="s">
        <v>550</v>
      </c>
    </row>
    <row r="234" spans="7:36" x14ac:dyDescent="0.3">
      <c r="G234" s="46">
        <v>2637517</v>
      </c>
      <c r="H234" s="39" t="s">
        <v>334</v>
      </c>
      <c r="N234" s="30" t="s">
        <v>397</v>
      </c>
      <c r="O234" s="2">
        <v>12</v>
      </c>
      <c r="Q234" s="30">
        <v>1</v>
      </c>
      <c r="R234" s="44">
        <v>32.49</v>
      </c>
      <c r="T234" s="44">
        <v>32.49</v>
      </c>
      <c r="X234" s="5">
        <v>32.49</v>
      </c>
      <c r="Z234" s="54" t="s">
        <v>444</v>
      </c>
      <c r="AA234" s="30" t="s">
        <v>397</v>
      </c>
      <c r="AB234" s="2">
        <v>12</v>
      </c>
      <c r="AF234" s="46">
        <v>2637517</v>
      </c>
      <c r="AG234" s="1" t="s">
        <v>542</v>
      </c>
      <c r="AH234" s="27" t="s">
        <v>334</v>
      </c>
      <c r="AI234" s="6" t="s">
        <v>547</v>
      </c>
      <c r="AJ234" s="46" t="s">
        <v>550</v>
      </c>
    </row>
    <row r="235" spans="7:36" x14ac:dyDescent="0.3">
      <c r="G235" s="46">
        <v>229690</v>
      </c>
      <c r="H235" s="39" t="s">
        <v>108</v>
      </c>
      <c r="N235" s="30" t="s">
        <v>392</v>
      </c>
      <c r="O235" s="2">
        <v>3</v>
      </c>
      <c r="Q235" s="30">
        <v>8</v>
      </c>
      <c r="R235" s="44">
        <v>4.0199999999999996</v>
      </c>
      <c r="T235" s="44">
        <v>32.159999999999997</v>
      </c>
      <c r="X235" s="5">
        <v>58.32</v>
      </c>
      <c r="Z235" s="54" t="s">
        <v>436</v>
      </c>
      <c r="AA235" s="30" t="s">
        <v>392</v>
      </c>
      <c r="AB235" s="2">
        <v>3</v>
      </c>
      <c r="AF235" s="46">
        <v>229690</v>
      </c>
      <c r="AG235" s="1" t="s">
        <v>534</v>
      </c>
      <c r="AH235" s="27" t="s">
        <v>108</v>
      </c>
      <c r="AI235" s="6" t="s">
        <v>547</v>
      </c>
      <c r="AJ235" s="46" t="s">
        <v>550</v>
      </c>
    </row>
    <row r="236" spans="7:36" x14ac:dyDescent="0.3">
      <c r="G236" s="46">
        <v>472506</v>
      </c>
      <c r="H236" s="39" t="s">
        <v>154</v>
      </c>
      <c r="N236" s="30" t="s">
        <v>392</v>
      </c>
      <c r="O236" s="2">
        <v>1000</v>
      </c>
      <c r="Q236" s="30">
        <v>6</v>
      </c>
      <c r="R236" s="44">
        <v>5.35</v>
      </c>
      <c r="T236" s="44">
        <v>32.099999999999994</v>
      </c>
      <c r="X236" s="5">
        <v>22.62</v>
      </c>
      <c r="Z236" s="54">
        <v>3.77</v>
      </c>
      <c r="AA236" s="30" t="s">
        <v>392</v>
      </c>
      <c r="AB236" s="2">
        <v>1000</v>
      </c>
      <c r="AF236" s="46">
        <v>472506</v>
      </c>
      <c r="AG236" s="1" t="s">
        <v>534</v>
      </c>
      <c r="AH236" s="27" t="s">
        <v>154</v>
      </c>
      <c r="AI236" s="6" t="s">
        <v>547</v>
      </c>
      <c r="AJ236" s="46" t="s">
        <v>549</v>
      </c>
    </row>
    <row r="237" spans="7:36" x14ac:dyDescent="0.3">
      <c r="G237" s="46">
        <v>831293</v>
      </c>
      <c r="H237" s="39" t="s">
        <v>271</v>
      </c>
      <c r="N237" s="30" t="s">
        <v>394</v>
      </c>
      <c r="O237" s="2">
        <v>12</v>
      </c>
      <c r="Q237" s="30">
        <v>1</v>
      </c>
      <c r="R237" s="44">
        <v>31.49</v>
      </c>
      <c r="T237" s="44">
        <v>31.49</v>
      </c>
      <c r="X237" s="5">
        <v>31.49</v>
      </c>
      <c r="Z237" s="54" t="s">
        <v>450</v>
      </c>
      <c r="AA237" s="30" t="s">
        <v>394</v>
      </c>
      <c r="AB237" s="2">
        <v>12</v>
      </c>
      <c r="AF237" s="46">
        <v>831293</v>
      </c>
      <c r="AG237" s="1" t="s">
        <v>534</v>
      </c>
      <c r="AH237" s="27" t="s">
        <v>271</v>
      </c>
      <c r="AI237" s="6" t="s">
        <v>547</v>
      </c>
      <c r="AJ237" s="46" t="s">
        <v>550</v>
      </c>
    </row>
    <row r="238" spans="7:36" x14ac:dyDescent="0.3">
      <c r="G238" s="46">
        <v>464050</v>
      </c>
      <c r="H238" s="39" t="s">
        <v>149</v>
      </c>
      <c r="N238" s="30" t="s">
        <v>392</v>
      </c>
      <c r="O238" s="2">
        <v>36</v>
      </c>
      <c r="Q238" s="30">
        <v>1</v>
      </c>
      <c r="R238" s="44">
        <v>30.49</v>
      </c>
      <c r="T238" s="44">
        <v>30.49</v>
      </c>
      <c r="X238" s="5">
        <v>30.49</v>
      </c>
      <c r="Z238" s="54" t="s">
        <v>408</v>
      </c>
      <c r="AA238" s="30" t="s">
        <v>392</v>
      </c>
      <c r="AB238" s="2">
        <v>36</v>
      </c>
      <c r="AF238" s="46">
        <v>464050</v>
      </c>
      <c r="AG238" s="1" t="s">
        <v>534</v>
      </c>
      <c r="AH238" s="27" t="s">
        <v>149</v>
      </c>
      <c r="AI238" s="6" t="s">
        <v>547</v>
      </c>
      <c r="AJ238" s="46" t="s">
        <v>550</v>
      </c>
    </row>
    <row r="239" spans="7:36" x14ac:dyDescent="0.3">
      <c r="G239" s="46">
        <v>870571</v>
      </c>
      <c r="H239" s="39" t="s">
        <v>279</v>
      </c>
      <c r="N239" s="30" t="s">
        <v>395</v>
      </c>
      <c r="O239" s="2">
        <v>1</v>
      </c>
      <c r="Q239" s="30">
        <v>1</v>
      </c>
      <c r="R239" s="44">
        <v>29.99</v>
      </c>
      <c r="T239" s="44">
        <v>29.99</v>
      </c>
      <c r="X239" s="5">
        <v>34.99</v>
      </c>
      <c r="Z239" s="54" t="s">
        <v>495</v>
      </c>
      <c r="AA239" s="30" t="s">
        <v>395</v>
      </c>
      <c r="AB239" s="2">
        <v>1</v>
      </c>
      <c r="AF239" s="46">
        <v>870571</v>
      </c>
      <c r="AG239" s="1" t="s">
        <v>539</v>
      </c>
      <c r="AH239" s="27" t="s">
        <v>279</v>
      </c>
      <c r="AI239" s="6" t="s">
        <v>547</v>
      </c>
      <c r="AJ239" s="46" t="s">
        <v>550</v>
      </c>
    </row>
    <row r="240" spans="7:36" x14ac:dyDescent="0.3">
      <c r="G240" s="46">
        <v>2290773</v>
      </c>
      <c r="H240" s="39" t="s">
        <v>323</v>
      </c>
      <c r="N240" s="30" t="s">
        <v>405</v>
      </c>
      <c r="O240" s="2">
        <v>1</v>
      </c>
      <c r="Q240" s="30">
        <v>1</v>
      </c>
      <c r="R240" s="44">
        <v>29.99</v>
      </c>
      <c r="T240" s="44">
        <v>29.99</v>
      </c>
      <c r="X240" s="5">
        <v>29.99</v>
      </c>
      <c r="Z240" s="54">
        <v>29.99</v>
      </c>
      <c r="AA240" s="30" t="s">
        <v>405</v>
      </c>
      <c r="AB240" s="2">
        <v>1</v>
      </c>
      <c r="AF240" s="46">
        <v>2290773</v>
      </c>
      <c r="AG240" s="1" t="s">
        <v>545</v>
      </c>
      <c r="AH240" s="27" t="s">
        <v>323</v>
      </c>
      <c r="AI240" s="6" t="s">
        <v>547</v>
      </c>
      <c r="AJ240" s="46" t="s">
        <v>550</v>
      </c>
    </row>
    <row r="241" spans="7:36" x14ac:dyDescent="0.3">
      <c r="G241" s="46">
        <v>294322</v>
      </c>
      <c r="H241" s="39" t="s">
        <v>118</v>
      </c>
      <c r="N241" s="30" t="s">
        <v>395</v>
      </c>
      <c r="O241" s="2">
        <v>1</v>
      </c>
      <c r="Q241" s="30">
        <v>10</v>
      </c>
      <c r="R241" s="44">
        <v>2.99</v>
      </c>
      <c r="T241" s="44">
        <v>29.900000000000002</v>
      </c>
      <c r="X241" s="5">
        <v>29.900000000000002</v>
      </c>
      <c r="Z241" s="54" t="s">
        <v>425</v>
      </c>
      <c r="AA241" s="30" t="s">
        <v>395</v>
      </c>
      <c r="AB241" s="2">
        <v>1</v>
      </c>
      <c r="AF241" s="46">
        <v>294322</v>
      </c>
      <c r="AG241" s="1" t="s">
        <v>534</v>
      </c>
      <c r="AH241" s="27" t="s">
        <v>118</v>
      </c>
      <c r="AI241" s="6" t="s">
        <v>547</v>
      </c>
      <c r="AJ241" s="46" t="s">
        <v>550</v>
      </c>
    </row>
    <row r="242" spans="7:36" x14ac:dyDescent="0.3">
      <c r="G242" s="46">
        <v>478405</v>
      </c>
      <c r="H242" s="39" t="s">
        <v>159</v>
      </c>
      <c r="N242" s="30" t="s">
        <v>392</v>
      </c>
      <c r="O242" s="2">
        <v>50</v>
      </c>
      <c r="Q242" s="30">
        <v>4</v>
      </c>
      <c r="R242" s="44">
        <v>7.02</v>
      </c>
      <c r="T242" s="44">
        <v>28.08</v>
      </c>
      <c r="X242" s="5">
        <v>18.239999999999998</v>
      </c>
      <c r="Z242" s="54" t="s">
        <v>454</v>
      </c>
      <c r="AA242" s="30" t="s">
        <v>392</v>
      </c>
      <c r="AB242" s="2">
        <v>50</v>
      </c>
      <c r="AF242" s="46">
        <v>478405</v>
      </c>
      <c r="AG242" s="1" t="s">
        <v>542</v>
      </c>
      <c r="AH242" s="27" t="s">
        <v>159</v>
      </c>
      <c r="AI242" s="6" t="s">
        <v>547</v>
      </c>
      <c r="AJ242" s="46" t="s">
        <v>549</v>
      </c>
    </row>
    <row r="243" spans="7:36" x14ac:dyDescent="0.3">
      <c r="G243" s="46">
        <v>323354</v>
      </c>
      <c r="H243" s="39" t="s">
        <v>122</v>
      </c>
      <c r="N243" s="30" t="s">
        <v>392</v>
      </c>
      <c r="O243" s="2">
        <v>4</v>
      </c>
      <c r="Q243" s="30">
        <v>2</v>
      </c>
      <c r="R243" s="44">
        <v>13.99</v>
      </c>
      <c r="T243" s="44">
        <v>27.98</v>
      </c>
      <c r="X243" s="5">
        <v>27.98</v>
      </c>
      <c r="Z243" s="54" t="s">
        <v>439</v>
      </c>
      <c r="AA243" s="30" t="s">
        <v>392</v>
      </c>
      <c r="AB243" s="2">
        <v>4</v>
      </c>
      <c r="AF243" s="46">
        <v>323354</v>
      </c>
      <c r="AG243" s="1" t="s">
        <v>540</v>
      </c>
      <c r="AH243" s="27" t="s">
        <v>122</v>
      </c>
      <c r="AI243" s="6" t="s">
        <v>547</v>
      </c>
      <c r="AJ243" s="46" t="s">
        <v>550</v>
      </c>
    </row>
    <row r="244" spans="7:36" x14ac:dyDescent="0.3">
      <c r="G244" s="46">
        <v>24326831</v>
      </c>
      <c r="H244" s="39" t="s">
        <v>344</v>
      </c>
      <c r="N244" s="30" t="s">
        <v>394</v>
      </c>
      <c r="O244" s="2">
        <v>12</v>
      </c>
      <c r="Q244" s="30">
        <v>11</v>
      </c>
      <c r="R244" s="44">
        <v>2.5299999999999998</v>
      </c>
      <c r="T244" s="44">
        <v>27.83</v>
      </c>
      <c r="X244" s="5">
        <v>19.690000000000001</v>
      </c>
      <c r="Z244" s="54" t="s">
        <v>465</v>
      </c>
      <c r="AA244" s="30" t="s">
        <v>394</v>
      </c>
      <c r="AB244" s="2">
        <v>12</v>
      </c>
      <c r="AF244" s="46">
        <v>24326831</v>
      </c>
      <c r="AG244" s="1" t="s">
        <v>534</v>
      </c>
      <c r="AH244" s="27" t="s">
        <v>344</v>
      </c>
      <c r="AI244" s="6" t="s">
        <v>547</v>
      </c>
      <c r="AJ244" s="46" t="s">
        <v>550</v>
      </c>
    </row>
    <row r="245" spans="7:36" x14ac:dyDescent="0.3">
      <c r="G245" s="46">
        <v>2495591</v>
      </c>
      <c r="H245" s="39" t="s">
        <v>328</v>
      </c>
      <c r="N245" s="30" t="s">
        <v>392</v>
      </c>
      <c r="O245" s="2">
        <v>8</v>
      </c>
      <c r="Q245" s="30">
        <v>1</v>
      </c>
      <c r="R245" s="44">
        <v>27.75</v>
      </c>
      <c r="T245" s="44">
        <v>27.75</v>
      </c>
      <c r="X245" s="5">
        <v>29.49</v>
      </c>
      <c r="Z245" s="54" t="s">
        <v>515</v>
      </c>
      <c r="AA245" s="30" t="s">
        <v>392</v>
      </c>
      <c r="AB245" s="2">
        <v>8</v>
      </c>
      <c r="AF245" s="46">
        <v>2495591</v>
      </c>
      <c r="AG245" s="1" t="s">
        <v>542</v>
      </c>
      <c r="AH245" s="27" t="s">
        <v>328</v>
      </c>
      <c r="AI245" s="6" t="s">
        <v>547</v>
      </c>
      <c r="AJ245" s="46" t="s">
        <v>550</v>
      </c>
    </row>
    <row r="246" spans="7:36" x14ac:dyDescent="0.3">
      <c r="G246" s="46">
        <v>233460</v>
      </c>
      <c r="H246" s="39" t="s">
        <v>109</v>
      </c>
      <c r="N246" s="30" t="s">
        <v>392</v>
      </c>
      <c r="O246" s="2">
        <v>500</v>
      </c>
      <c r="Q246" s="30">
        <v>4</v>
      </c>
      <c r="R246" s="44">
        <v>6.84</v>
      </c>
      <c r="T246" s="44">
        <v>27.36</v>
      </c>
      <c r="X246" s="5">
        <v>37.479999999999997</v>
      </c>
      <c r="Z246" s="54">
        <v>9.3699999999999992</v>
      </c>
      <c r="AA246" s="30" t="s">
        <v>392</v>
      </c>
      <c r="AB246" s="2">
        <v>500</v>
      </c>
      <c r="AF246" s="46">
        <v>233460</v>
      </c>
      <c r="AG246" s="1" t="s">
        <v>534</v>
      </c>
      <c r="AH246" s="27" t="s">
        <v>109</v>
      </c>
      <c r="AI246" s="6" t="s">
        <v>547</v>
      </c>
      <c r="AJ246" s="46" t="s">
        <v>548</v>
      </c>
    </row>
    <row r="247" spans="7:36" x14ac:dyDescent="0.3">
      <c r="G247" s="46">
        <v>480117</v>
      </c>
      <c r="H247" s="39" t="s">
        <v>163</v>
      </c>
      <c r="N247" s="30" t="s">
        <v>392</v>
      </c>
      <c r="O247" s="2">
        <v>500</v>
      </c>
      <c r="Q247" s="30">
        <v>7</v>
      </c>
      <c r="R247" s="44">
        <v>3.89</v>
      </c>
      <c r="T247" s="44">
        <v>27.23</v>
      </c>
      <c r="X247" s="5">
        <v>12.67</v>
      </c>
      <c r="Z247" s="54">
        <v>1.81</v>
      </c>
      <c r="AA247" s="30" t="s">
        <v>392</v>
      </c>
      <c r="AB247" s="2">
        <v>500</v>
      </c>
      <c r="AF247" s="46">
        <v>480117</v>
      </c>
      <c r="AG247" s="1" t="s">
        <v>534</v>
      </c>
      <c r="AH247" s="27" t="s">
        <v>163</v>
      </c>
      <c r="AI247" s="6" t="s">
        <v>547</v>
      </c>
      <c r="AJ247" s="46" t="s">
        <v>549</v>
      </c>
    </row>
    <row r="248" spans="7:36" x14ac:dyDescent="0.3">
      <c r="G248" s="46">
        <v>487541</v>
      </c>
      <c r="H248" s="39" t="s">
        <v>170</v>
      </c>
      <c r="N248" s="30" t="s">
        <v>395</v>
      </c>
      <c r="O248" s="2">
        <v>1</v>
      </c>
      <c r="Q248" s="30">
        <v>1</v>
      </c>
      <c r="R248" s="44">
        <v>26.49</v>
      </c>
      <c r="T248" s="44">
        <v>26.49</v>
      </c>
      <c r="X248" s="5">
        <v>19.39</v>
      </c>
      <c r="Z248" s="54" t="s">
        <v>458</v>
      </c>
      <c r="AA248" s="30" t="s">
        <v>395</v>
      </c>
      <c r="AB248" s="2">
        <v>1</v>
      </c>
      <c r="AF248" s="46">
        <v>487541</v>
      </c>
      <c r="AG248" s="1" t="s">
        <v>534</v>
      </c>
      <c r="AH248" s="27" t="s">
        <v>170</v>
      </c>
      <c r="AI248" s="6" t="s">
        <v>547</v>
      </c>
      <c r="AJ248" s="46" t="s">
        <v>549</v>
      </c>
    </row>
    <row r="249" spans="7:36" x14ac:dyDescent="0.3">
      <c r="G249" s="46">
        <v>490944</v>
      </c>
      <c r="H249" s="39" t="s">
        <v>179</v>
      </c>
      <c r="N249" s="30" t="s">
        <v>398</v>
      </c>
      <c r="O249" s="2">
        <v>500</v>
      </c>
      <c r="Q249" s="30">
        <v>1</v>
      </c>
      <c r="R249" s="44">
        <v>26.19</v>
      </c>
      <c r="T249" s="44">
        <v>26.19</v>
      </c>
      <c r="X249" s="5">
        <v>26.19</v>
      </c>
      <c r="Z249" s="54" t="s">
        <v>462</v>
      </c>
      <c r="AA249" s="30" t="s">
        <v>398</v>
      </c>
      <c r="AB249" s="2">
        <v>500</v>
      </c>
      <c r="AF249" s="46">
        <v>490944</v>
      </c>
      <c r="AG249" s="1" t="s">
        <v>538</v>
      </c>
      <c r="AH249" s="27" t="s">
        <v>179</v>
      </c>
      <c r="AI249" s="6" t="s">
        <v>547</v>
      </c>
      <c r="AJ249" s="46" t="s">
        <v>550</v>
      </c>
    </row>
    <row r="250" spans="7:36" x14ac:dyDescent="0.3">
      <c r="G250" s="46">
        <v>504407</v>
      </c>
      <c r="H250" s="39" t="s">
        <v>191</v>
      </c>
      <c r="N250" s="30" t="s">
        <v>392</v>
      </c>
      <c r="O250" s="2">
        <v>6</v>
      </c>
      <c r="Q250" s="30">
        <v>2</v>
      </c>
      <c r="R250" s="44">
        <v>13.09</v>
      </c>
      <c r="T250" s="44">
        <v>26.18</v>
      </c>
      <c r="X250" s="5">
        <v>29.98</v>
      </c>
      <c r="Z250" s="54" t="s">
        <v>448</v>
      </c>
      <c r="AA250" s="30" t="s">
        <v>392</v>
      </c>
      <c r="AB250" s="2">
        <v>6</v>
      </c>
      <c r="AF250" s="46">
        <v>504407</v>
      </c>
      <c r="AG250" s="1" t="s">
        <v>540</v>
      </c>
      <c r="AH250" s="27" t="s">
        <v>191</v>
      </c>
      <c r="AI250" s="6" t="s">
        <v>547</v>
      </c>
      <c r="AJ250" s="46" t="s">
        <v>550</v>
      </c>
    </row>
    <row r="251" spans="7:36" x14ac:dyDescent="0.3">
      <c r="G251" s="46" t="s">
        <v>47</v>
      </c>
      <c r="H251" s="39"/>
      <c r="N251" s="30" t="s">
        <v>403</v>
      </c>
      <c r="O251" s="2">
        <v>1</v>
      </c>
      <c r="Q251" s="30">
        <v>2</v>
      </c>
      <c r="R251" s="44">
        <v>12.79</v>
      </c>
      <c r="T251" s="44">
        <v>25.58</v>
      </c>
      <c r="X251" s="5">
        <v>25.58</v>
      </c>
      <c r="Z251" s="54" t="s">
        <v>525</v>
      </c>
      <c r="AA251" s="30" t="s">
        <v>403</v>
      </c>
      <c r="AB251" s="2">
        <v>1</v>
      </c>
      <c r="AF251" s="46" t="s">
        <v>47</v>
      </c>
      <c r="AG251" s="1" t="s">
        <v>534</v>
      </c>
      <c r="AH251" s="27" t="s">
        <v>552</v>
      </c>
      <c r="AI251" s="6" t="s">
        <v>547</v>
      </c>
      <c r="AJ251" s="46" t="s">
        <v>550</v>
      </c>
    </row>
    <row r="252" spans="7:36" x14ac:dyDescent="0.3">
      <c r="G252" s="46" t="s">
        <v>46</v>
      </c>
      <c r="H252" s="39" t="s">
        <v>391</v>
      </c>
      <c r="N252" s="30" t="s">
        <v>405</v>
      </c>
      <c r="O252" s="2">
        <v>1</v>
      </c>
      <c r="Q252" s="30">
        <v>1</v>
      </c>
      <c r="R252" s="44">
        <v>24.99</v>
      </c>
      <c r="T252" s="44">
        <v>24.99</v>
      </c>
      <c r="X252" s="5">
        <v>24.99</v>
      </c>
      <c r="Z252" s="54" t="s">
        <v>532</v>
      </c>
      <c r="AA252" s="30" t="s">
        <v>405</v>
      </c>
      <c r="AB252" s="2">
        <v>1</v>
      </c>
      <c r="AF252" s="46" t="s">
        <v>46</v>
      </c>
      <c r="AG252" s="1" t="s">
        <v>539</v>
      </c>
      <c r="AH252" s="27" t="s">
        <v>391</v>
      </c>
      <c r="AI252" s="6" t="s">
        <v>547</v>
      </c>
      <c r="AJ252" s="46" t="s">
        <v>550</v>
      </c>
    </row>
    <row r="253" spans="7:36" x14ac:dyDescent="0.3">
      <c r="G253" s="46">
        <v>24424334</v>
      </c>
      <c r="H253" s="39" t="s">
        <v>372</v>
      </c>
      <c r="N253" s="30" t="s">
        <v>395</v>
      </c>
      <c r="O253" s="2">
        <v>1</v>
      </c>
      <c r="Q253" s="30">
        <v>3</v>
      </c>
      <c r="R253" s="44">
        <v>8.19</v>
      </c>
      <c r="T253" s="44">
        <v>24.57</v>
      </c>
      <c r="X253" s="5">
        <v>9.39</v>
      </c>
      <c r="Z253" s="54">
        <v>3.13</v>
      </c>
      <c r="AA253" s="30" t="s">
        <v>395</v>
      </c>
      <c r="AB253" s="2">
        <v>1</v>
      </c>
      <c r="AF253" s="46">
        <v>24424334</v>
      </c>
      <c r="AG253" s="1" t="s">
        <v>539</v>
      </c>
      <c r="AH253" s="27" t="s">
        <v>372</v>
      </c>
      <c r="AI253" s="6" t="s">
        <v>547</v>
      </c>
      <c r="AJ253" s="46" t="s">
        <v>549</v>
      </c>
    </row>
    <row r="254" spans="7:36" x14ac:dyDescent="0.3">
      <c r="G254" s="46">
        <v>125369</v>
      </c>
      <c r="H254" s="39" t="s">
        <v>78</v>
      </c>
      <c r="N254" s="30" t="s">
        <v>394</v>
      </c>
      <c r="O254" s="2">
        <v>12</v>
      </c>
      <c r="Q254" s="30">
        <v>3</v>
      </c>
      <c r="R254" s="44">
        <v>8.18</v>
      </c>
      <c r="T254" s="44">
        <v>24.54</v>
      </c>
      <c r="X254" s="5">
        <v>18.059999999999999</v>
      </c>
      <c r="Z254" s="54" t="s">
        <v>424</v>
      </c>
      <c r="AA254" s="30" t="s">
        <v>394</v>
      </c>
      <c r="AB254" s="2">
        <v>12</v>
      </c>
      <c r="AF254" s="46">
        <v>125369</v>
      </c>
      <c r="AG254" s="1" t="s">
        <v>534</v>
      </c>
      <c r="AH254" s="27" t="s">
        <v>78</v>
      </c>
      <c r="AI254" s="6" t="s">
        <v>547</v>
      </c>
      <c r="AJ254" s="46" t="s">
        <v>549</v>
      </c>
    </row>
    <row r="255" spans="7:36" x14ac:dyDescent="0.3">
      <c r="G255" s="46">
        <v>862156</v>
      </c>
      <c r="H255" s="39" t="s">
        <v>277</v>
      </c>
      <c r="N255" s="30" t="s">
        <v>392</v>
      </c>
      <c r="O255" s="2">
        <v>250</v>
      </c>
      <c r="Q255" s="30">
        <v>1</v>
      </c>
      <c r="R255" s="44">
        <v>24.49</v>
      </c>
      <c r="T255" s="44">
        <v>24.49</v>
      </c>
      <c r="X255" s="5">
        <v>24.49</v>
      </c>
      <c r="Z255" s="54" t="s">
        <v>494</v>
      </c>
      <c r="AA255" s="30" t="s">
        <v>392</v>
      </c>
      <c r="AB255" s="2">
        <v>250</v>
      </c>
      <c r="AF255" s="46">
        <v>862156</v>
      </c>
      <c r="AG255" s="1" t="s">
        <v>538</v>
      </c>
      <c r="AH255" s="27" t="s">
        <v>277</v>
      </c>
      <c r="AI255" s="6" t="s">
        <v>547</v>
      </c>
      <c r="AJ255" s="46" t="s">
        <v>550</v>
      </c>
    </row>
    <row r="256" spans="7:36" x14ac:dyDescent="0.3">
      <c r="G256" s="46">
        <v>2728675</v>
      </c>
      <c r="H256" s="39" t="s">
        <v>336</v>
      </c>
      <c r="N256" s="30" t="s">
        <v>392</v>
      </c>
      <c r="O256" s="2">
        <v>200</v>
      </c>
      <c r="Q256" s="30">
        <v>1</v>
      </c>
      <c r="R256" s="44">
        <v>23.39</v>
      </c>
      <c r="T256" s="44">
        <v>23.39</v>
      </c>
      <c r="X256" s="5">
        <v>33.49</v>
      </c>
      <c r="Z256" s="54" t="s">
        <v>516</v>
      </c>
      <c r="AA256" s="30" t="s">
        <v>392</v>
      </c>
      <c r="AB256" s="2">
        <v>200</v>
      </c>
      <c r="AF256" s="46">
        <v>2728675</v>
      </c>
      <c r="AG256" s="1" t="s">
        <v>539</v>
      </c>
      <c r="AH256" s="27" t="s">
        <v>336</v>
      </c>
      <c r="AI256" s="6" t="s">
        <v>547</v>
      </c>
      <c r="AJ256" s="46" t="s">
        <v>550</v>
      </c>
    </row>
    <row r="257" spans="7:36" x14ac:dyDescent="0.3">
      <c r="G257" s="46">
        <v>333583</v>
      </c>
      <c r="H257" s="39" t="s">
        <v>125</v>
      </c>
      <c r="N257" s="30" t="s">
        <v>395</v>
      </c>
      <c r="O257" s="2">
        <v>1</v>
      </c>
      <c r="Q257" s="30">
        <v>3</v>
      </c>
      <c r="R257" s="44">
        <v>7.79</v>
      </c>
      <c r="T257" s="44">
        <v>23.37</v>
      </c>
      <c r="X257" s="5">
        <v>23.37</v>
      </c>
      <c r="Z257" s="54" t="s">
        <v>442</v>
      </c>
      <c r="AA257" s="30" t="s">
        <v>395</v>
      </c>
      <c r="AB257" s="2">
        <v>1</v>
      </c>
      <c r="AF257" s="46">
        <v>333583</v>
      </c>
      <c r="AG257" s="1" t="s">
        <v>539</v>
      </c>
      <c r="AH257" s="27" t="s">
        <v>125</v>
      </c>
      <c r="AI257" s="6" t="s">
        <v>547</v>
      </c>
      <c r="AJ257" s="46" t="s">
        <v>550</v>
      </c>
    </row>
    <row r="258" spans="7:36" x14ac:dyDescent="0.3">
      <c r="G258" s="46">
        <v>818801</v>
      </c>
      <c r="H258" s="39" t="s">
        <v>267</v>
      </c>
      <c r="N258" s="30" t="s">
        <v>394</v>
      </c>
      <c r="O258" s="2">
        <v>12</v>
      </c>
      <c r="Q258" s="30">
        <v>1</v>
      </c>
      <c r="R258" s="44">
        <v>22.99</v>
      </c>
      <c r="T258" s="44">
        <v>22.99</v>
      </c>
      <c r="X258" s="5">
        <v>22.99</v>
      </c>
      <c r="Z258" s="54" t="s">
        <v>410</v>
      </c>
      <c r="AA258" s="30" t="s">
        <v>394</v>
      </c>
      <c r="AB258" s="2">
        <v>12</v>
      </c>
      <c r="AF258" s="46">
        <v>818801</v>
      </c>
      <c r="AG258" s="1" t="s">
        <v>534</v>
      </c>
      <c r="AH258" s="27" t="s">
        <v>267</v>
      </c>
      <c r="AI258" s="6" t="s">
        <v>547</v>
      </c>
      <c r="AJ258" s="46" t="s">
        <v>550</v>
      </c>
    </row>
    <row r="259" spans="7:36" x14ac:dyDescent="0.3">
      <c r="G259" s="46">
        <v>2768001</v>
      </c>
      <c r="H259" s="39" t="s">
        <v>337</v>
      </c>
      <c r="N259" s="30" t="s">
        <v>404</v>
      </c>
      <c r="O259" s="2">
        <v>24</v>
      </c>
      <c r="Q259" s="30">
        <v>1</v>
      </c>
      <c r="R259" s="44">
        <v>22.99</v>
      </c>
      <c r="T259" s="44">
        <v>22.99</v>
      </c>
      <c r="X259" s="5">
        <v>22.99</v>
      </c>
      <c r="Z259" s="54">
        <v>22.99</v>
      </c>
      <c r="AA259" s="30" t="s">
        <v>404</v>
      </c>
      <c r="AB259" s="2">
        <v>24</v>
      </c>
      <c r="AF259" s="46">
        <v>2768001</v>
      </c>
      <c r="AG259" s="1" t="s">
        <v>544</v>
      </c>
      <c r="AH259" s="27" t="s">
        <v>337</v>
      </c>
      <c r="AI259" s="6" t="s">
        <v>547</v>
      </c>
      <c r="AJ259" s="46" t="s">
        <v>550</v>
      </c>
    </row>
    <row r="260" spans="7:36" x14ac:dyDescent="0.3">
      <c r="G260" s="46">
        <v>2768002</v>
      </c>
      <c r="H260" s="39" t="s">
        <v>338</v>
      </c>
      <c r="N260" s="30" t="s">
        <v>404</v>
      </c>
      <c r="O260" s="2">
        <v>24</v>
      </c>
      <c r="Q260" s="30">
        <v>1</v>
      </c>
      <c r="R260" s="44">
        <v>22.99</v>
      </c>
      <c r="T260" s="44">
        <v>22.99</v>
      </c>
      <c r="X260" s="5">
        <v>22.99</v>
      </c>
      <c r="Z260" s="54">
        <v>22.99</v>
      </c>
      <c r="AA260" s="30" t="s">
        <v>404</v>
      </c>
      <c r="AB260" s="2">
        <v>24</v>
      </c>
      <c r="AF260" s="46">
        <v>2768002</v>
      </c>
      <c r="AG260" s="1" t="s">
        <v>544</v>
      </c>
      <c r="AH260" s="27" t="s">
        <v>338</v>
      </c>
      <c r="AI260" s="6" t="s">
        <v>547</v>
      </c>
      <c r="AJ260" s="46" t="s">
        <v>550</v>
      </c>
    </row>
    <row r="261" spans="7:36" x14ac:dyDescent="0.3">
      <c r="G261" s="46">
        <v>490948</v>
      </c>
      <c r="H261" s="39" t="s">
        <v>181</v>
      </c>
      <c r="N261" s="30" t="s">
        <v>398</v>
      </c>
      <c r="O261" s="2">
        <v>500</v>
      </c>
      <c r="Q261" s="30">
        <v>1</v>
      </c>
      <c r="R261" s="44">
        <v>22.8</v>
      </c>
      <c r="T261" s="44">
        <v>22.8</v>
      </c>
      <c r="X261" s="5">
        <v>5.07</v>
      </c>
      <c r="Z261" s="54">
        <v>5.07</v>
      </c>
      <c r="AA261" s="30" t="s">
        <v>398</v>
      </c>
      <c r="AB261" s="2">
        <v>500</v>
      </c>
      <c r="AF261" s="46">
        <v>490948</v>
      </c>
      <c r="AG261" s="1" t="s">
        <v>538</v>
      </c>
      <c r="AH261" s="27" t="s">
        <v>181</v>
      </c>
      <c r="AI261" s="6" t="s">
        <v>547</v>
      </c>
      <c r="AJ261" s="46" t="s">
        <v>549</v>
      </c>
    </row>
    <row r="262" spans="7:36" x14ac:dyDescent="0.3">
      <c r="G262" s="46">
        <v>163857</v>
      </c>
      <c r="H262" s="39" t="s">
        <v>88</v>
      </c>
      <c r="N262" s="30" t="s">
        <v>394</v>
      </c>
      <c r="O262" s="2">
        <v>12</v>
      </c>
      <c r="Q262" s="30">
        <v>1</v>
      </c>
      <c r="R262" s="44">
        <v>22.49</v>
      </c>
      <c r="T262" s="44">
        <v>22.49</v>
      </c>
      <c r="X262" s="5">
        <v>22.49</v>
      </c>
      <c r="Z262" s="54" t="s">
        <v>428</v>
      </c>
      <c r="AA262" s="30" t="s">
        <v>394</v>
      </c>
      <c r="AB262" s="2">
        <v>12</v>
      </c>
      <c r="AF262" s="46">
        <v>163857</v>
      </c>
      <c r="AG262" s="1" t="s">
        <v>534</v>
      </c>
      <c r="AH262" s="27" t="s">
        <v>88</v>
      </c>
      <c r="AI262" s="6" t="s">
        <v>547</v>
      </c>
      <c r="AJ262" s="46" t="s">
        <v>550</v>
      </c>
    </row>
    <row r="263" spans="7:36" x14ac:dyDescent="0.3">
      <c r="G263" s="46">
        <v>480109</v>
      </c>
      <c r="H263" s="39" t="s">
        <v>161</v>
      </c>
      <c r="N263" s="30" t="s">
        <v>392</v>
      </c>
      <c r="O263" s="2">
        <v>500</v>
      </c>
      <c r="Q263" s="30">
        <v>1</v>
      </c>
      <c r="R263" s="44">
        <v>22.49</v>
      </c>
      <c r="T263" s="44">
        <v>22.49</v>
      </c>
      <c r="X263" s="5">
        <v>2.83</v>
      </c>
      <c r="Z263" s="54">
        <v>2.83</v>
      </c>
      <c r="AA263" s="30" t="s">
        <v>392</v>
      </c>
      <c r="AB263" s="2">
        <v>500</v>
      </c>
      <c r="AF263" s="46">
        <v>480109</v>
      </c>
      <c r="AG263" s="1" t="s">
        <v>534</v>
      </c>
      <c r="AH263" s="27" t="s">
        <v>161</v>
      </c>
      <c r="AI263" s="6" t="s">
        <v>547</v>
      </c>
      <c r="AJ263" s="46" t="s">
        <v>549</v>
      </c>
    </row>
    <row r="264" spans="7:36" x14ac:dyDescent="0.3">
      <c r="G264" s="46">
        <v>493340</v>
      </c>
      <c r="H264" s="39" t="s">
        <v>183</v>
      </c>
      <c r="N264" s="30" t="s">
        <v>392</v>
      </c>
      <c r="O264" s="2">
        <v>5</v>
      </c>
      <c r="Q264" s="30">
        <v>3</v>
      </c>
      <c r="R264" s="44">
        <v>7.49</v>
      </c>
      <c r="T264" s="44">
        <v>22.47</v>
      </c>
      <c r="X264" s="5">
        <v>22.47</v>
      </c>
      <c r="Z264" s="54" t="s">
        <v>464</v>
      </c>
      <c r="AA264" s="30" t="s">
        <v>392</v>
      </c>
      <c r="AB264" s="2">
        <v>5</v>
      </c>
      <c r="AF264" s="46">
        <v>493340</v>
      </c>
      <c r="AG264" s="1" t="s">
        <v>534</v>
      </c>
      <c r="AH264" s="27" t="s">
        <v>183</v>
      </c>
      <c r="AI264" s="6" t="s">
        <v>547</v>
      </c>
      <c r="AJ264" s="46" t="s">
        <v>550</v>
      </c>
    </row>
    <row r="265" spans="7:36" x14ac:dyDescent="0.3">
      <c r="G265" s="46">
        <v>771501</v>
      </c>
      <c r="H265" s="39" t="s">
        <v>252</v>
      </c>
      <c r="N265" s="30" t="s">
        <v>394</v>
      </c>
      <c r="O265" s="2">
        <v>12</v>
      </c>
      <c r="Q265" s="30">
        <v>8</v>
      </c>
      <c r="R265" s="44">
        <v>2.74</v>
      </c>
      <c r="T265" s="44">
        <v>21.92</v>
      </c>
      <c r="X265" s="5">
        <v>19.920000000000002</v>
      </c>
      <c r="Z265" s="54" t="s">
        <v>486</v>
      </c>
      <c r="AA265" s="30" t="s">
        <v>394</v>
      </c>
      <c r="AB265" s="2">
        <v>12</v>
      </c>
      <c r="AF265" s="46">
        <v>771501</v>
      </c>
      <c r="AG265" s="1" t="s">
        <v>534</v>
      </c>
      <c r="AH265" s="27" t="s">
        <v>252</v>
      </c>
      <c r="AI265" s="6" t="s">
        <v>547</v>
      </c>
      <c r="AJ265" s="46" t="s">
        <v>550</v>
      </c>
    </row>
    <row r="266" spans="7:36" x14ac:dyDescent="0.3">
      <c r="G266" s="46">
        <v>1052551</v>
      </c>
      <c r="H266" s="39" t="s">
        <v>302</v>
      </c>
      <c r="N266" s="30" t="s">
        <v>404</v>
      </c>
      <c r="O266" s="2">
        <v>100</v>
      </c>
      <c r="Q266" s="30">
        <v>2</v>
      </c>
      <c r="R266" s="44">
        <v>10.89</v>
      </c>
      <c r="T266" s="44">
        <v>21.78</v>
      </c>
      <c r="X266" s="5">
        <v>21.78</v>
      </c>
      <c r="Z266" s="54">
        <v>10.89</v>
      </c>
      <c r="AA266" s="30" t="s">
        <v>404</v>
      </c>
      <c r="AB266" s="2">
        <v>100</v>
      </c>
      <c r="AF266" s="46">
        <v>1052551</v>
      </c>
      <c r="AG266" s="1" t="s">
        <v>544</v>
      </c>
      <c r="AH266" s="27" t="s">
        <v>302</v>
      </c>
      <c r="AI266" s="6" t="s">
        <v>547</v>
      </c>
      <c r="AJ266" s="46" t="s">
        <v>550</v>
      </c>
    </row>
    <row r="267" spans="7:36" x14ac:dyDescent="0.3">
      <c r="G267" s="46">
        <v>164115</v>
      </c>
      <c r="H267" s="39" t="s">
        <v>91</v>
      </c>
      <c r="N267" s="30" t="s">
        <v>395</v>
      </c>
      <c r="O267" s="2">
        <v>1</v>
      </c>
      <c r="Q267" s="30">
        <v>1</v>
      </c>
      <c r="R267" s="44">
        <v>21.39</v>
      </c>
      <c r="T267" s="44">
        <v>21.39</v>
      </c>
      <c r="X267" s="5">
        <v>29</v>
      </c>
      <c r="Z267" s="54" t="s">
        <v>431</v>
      </c>
      <c r="AA267" s="30" t="s">
        <v>395</v>
      </c>
      <c r="AB267" s="2">
        <v>1</v>
      </c>
      <c r="AF267" s="46">
        <v>164115</v>
      </c>
      <c r="AG267" s="1" t="s">
        <v>539</v>
      </c>
      <c r="AH267" s="27" t="s">
        <v>91</v>
      </c>
      <c r="AI267" s="6" t="s">
        <v>547</v>
      </c>
      <c r="AJ267" s="46" t="s">
        <v>550</v>
      </c>
    </row>
    <row r="268" spans="7:36" x14ac:dyDescent="0.3">
      <c r="G268" s="46">
        <v>1828056</v>
      </c>
      <c r="H268" s="39" t="s">
        <v>312</v>
      </c>
      <c r="N268" s="30" t="s">
        <v>395</v>
      </c>
      <c r="O268" s="2">
        <v>1</v>
      </c>
      <c r="Q268" s="30">
        <v>1</v>
      </c>
      <c r="R268" s="44">
        <v>20.99</v>
      </c>
      <c r="T268" s="44">
        <v>20.99</v>
      </c>
      <c r="X268" s="5">
        <v>20.99</v>
      </c>
      <c r="Z268" s="54" t="s">
        <v>506</v>
      </c>
      <c r="AA268" s="30" t="s">
        <v>395</v>
      </c>
      <c r="AB268" s="2">
        <v>1</v>
      </c>
      <c r="AF268" s="46">
        <v>1828056</v>
      </c>
      <c r="AG268" s="1" t="s">
        <v>534</v>
      </c>
      <c r="AH268" s="27" t="s">
        <v>312</v>
      </c>
      <c r="AI268" s="6" t="s">
        <v>547</v>
      </c>
      <c r="AJ268" s="46" t="s">
        <v>550</v>
      </c>
    </row>
    <row r="269" spans="7:36" x14ac:dyDescent="0.3">
      <c r="G269" s="46">
        <v>24478810</v>
      </c>
      <c r="H269" s="39" t="s">
        <v>388</v>
      </c>
      <c r="N269" s="30" t="s">
        <v>395</v>
      </c>
      <c r="O269" s="2">
        <v>1</v>
      </c>
      <c r="Q269" s="30">
        <v>1</v>
      </c>
      <c r="R269" s="44">
        <v>20.69</v>
      </c>
      <c r="T269" s="44">
        <v>20.69</v>
      </c>
      <c r="X269" s="5">
        <v>20.69</v>
      </c>
      <c r="Z269" s="54" t="s">
        <v>530</v>
      </c>
      <c r="AA269" s="30" t="s">
        <v>395</v>
      </c>
      <c r="AB269" s="2">
        <v>1</v>
      </c>
      <c r="AF269" s="46">
        <v>24478810</v>
      </c>
      <c r="AG269" s="1" t="s">
        <v>534</v>
      </c>
      <c r="AH269" s="27" t="s">
        <v>388</v>
      </c>
      <c r="AI269" s="6" t="s">
        <v>547</v>
      </c>
      <c r="AJ269" s="46" t="s">
        <v>550</v>
      </c>
    </row>
    <row r="270" spans="7:36" x14ac:dyDescent="0.3">
      <c r="G270" s="46">
        <v>24423005</v>
      </c>
      <c r="H270" s="39" t="s">
        <v>368</v>
      </c>
      <c r="N270" s="30" t="s">
        <v>403</v>
      </c>
      <c r="O270" s="2">
        <v>6</v>
      </c>
      <c r="Q270" s="30">
        <v>2</v>
      </c>
      <c r="R270" s="44">
        <v>9.99</v>
      </c>
      <c r="T270" s="44">
        <v>19.98</v>
      </c>
      <c r="X270" s="5">
        <v>19.98</v>
      </c>
      <c r="Z270" s="54">
        <v>9.99</v>
      </c>
      <c r="AA270" s="30" t="s">
        <v>403</v>
      </c>
      <c r="AB270" s="2">
        <v>6</v>
      </c>
      <c r="AF270" s="46">
        <v>24423005</v>
      </c>
      <c r="AG270" s="1" t="s">
        <v>534</v>
      </c>
      <c r="AH270" s="27" t="s">
        <v>368</v>
      </c>
      <c r="AI270" s="6" t="s">
        <v>547</v>
      </c>
      <c r="AJ270" s="46" t="s">
        <v>550</v>
      </c>
    </row>
    <row r="271" spans="7:36" x14ac:dyDescent="0.3">
      <c r="G271" s="46">
        <v>1170913</v>
      </c>
      <c r="H271" s="39" t="s">
        <v>305</v>
      </c>
      <c r="N271" s="30" t="s">
        <v>392</v>
      </c>
      <c r="O271" s="2">
        <v>36</v>
      </c>
      <c r="Q271" s="30">
        <v>1</v>
      </c>
      <c r="R271" s="44">
        <v>19.79</v>
      </c>
      <c r="T271" s="44">
        <v>19.79</v>
      </c>
      <c r="X271" s="5">
        <v>19.79</v>
      </c>
      <c r="Z271" s="54" t="s">
        <v>503</v>
      </c>
      <c r="AA271" s="30" t="s">
        <v>392</v>
      </c>
      <c r="AB271" s="2">
        <v>36</v>
      </c>
      <c r="AF271" s="46">
        <v>1170913</v>
      </c>
      <c r="AG271" s="1" t="s">
        <v>534</v>
      </c>
      <c r="AH271" s="27" t="s">
        <v>305</v>
      </c>
      <c r="AI271" s="6" t="s">
        <v>547</v>
      </c>
      <c r="AJ271" s="46" t="s">
        <v>550</v>
      </c>
    </row>
    <row r="272" spans="7:36" x14ac:dyDescent="0.3">
      <c r="G272" s="46">
        <v>2612129</v>
      </c>
      <c r="H272" s="39" t="s">
        <v>330</v>
      </c>
      <c r="N272" s="30" t="s">
        <v>397</v>
      </c>
      <c r="O272" s="2">
        <v>6</v>
      </c>
      <c r="Q272" s="30">
        <v>1</v>
      </c>
      <c r="R272" s="44">
        <v>19.79</v>
      </c>
      <c r="T272" s="44">
        <v>19.79</v>
      </c>
      <c r="X272" s="5">
        <v>19.79</v>
      </c>
      <c r="Z272" s="54" t="s">
        <v>503</v>
      </c>
      <c r="AA272" s="30" t="s">
        <v>397</v>
      </c>
      <c r="AB272" s="2">
        <v>6</v>
      </c>
      <c r="AF272" s="46">
        <v>2612129</v>
      </c>
      <c r="AG272" s="1" t="s">
        <v>535</v>
      </c>
      <c r="AH272" s="27" t="s">
        <v>330</v>
      </c>
      <c r="AI272" s="6" t="s">
        <v>547</v>
      </c>
      <c r="AJ272" s="46" t="s">
        <v>550</v>
      </c>
    </row>
    <row r="273" spans="7:36" x14ac:dyDescent="0.3">
      <c r="G273" s="46">
        <v>522003</v>
      </c>
      <c r="H273" s="39" t="s">
        <v>202</v>
      </c>
      <c r="N273" s="30" t="s">
        <v>395</v>
      </c>
      <c r="O273" s="2">
        <v>1</v>
      </c>
      <c r="Q273" s="30">
        <v>12</v>
      </c>
      <c r="R273" s="44">
        <v>1.64</v>
      </c>
      <c r="T273" s="44">
        <v>19.68</v>
      </c>
      <c r="X273" s="5">
        <v>10.56</v>
      </c>
      <c r="Z273" s="54">
        <v>0.88</v>
      </c>
      <c r="AA273" s="30" t="s">
        <v>395</v>
      </c>
      <c r="AB273" s="2">
        <v>1</v>
      </c>
      <c r="AF273" s="46">
        <v>522003</v>
      </c>
      <c r="AG273" s="1" t="s">
        <v>534</v>
      </c>
      <c r="AH273" s="27" t="s">
        <v>202</v>
      </c>
      <c r="AI273" s="6" t="s">
        <v>547</v>
      </c>
      <c r="AJ273" s="46" t="s">
        <v>549</v>
      </c>
    </row>
    <row r="274" spans="7:36" x14ac:dyDescent="0.3">
      <c r="G274" s="46">
        <v>49022</v>
      </c>
      <c r="H274" s="39" t="s">
        <v>53</v>
      </c>
      <c r="N274" s="30" t="s">
        <v>394</v>
      </c>
      <c r="O274" s="2">
        <v>12</v>
      </c>
      <c r="Q274" s="30">
        <v>1</v>
      </c>
      <c r="R274" s="44">
        <v>19.489999999999998</v>
      </c>
      <c r="T274" s="44">
        <v>19.489999999999998</v>
      </c>
      <c r="X274" s="5">
        <v>19.489999999999998</v>
      </c>
      <c r="Z274" s="54" t="s">
        <v>409</v>
      </c>
      <c r="AA274" s="30" t="s">
        <v>394</v>
      </c>
      <c r="AB274" s="2">
        <v>12</v>
      </c>
      <c r="AF274" s="46">
        <v>49022</v>
      </c>
      <c r="AG274" s="1" t="s">
        <v>534</v>
      </c>
      <c r="AH274" s="27" t="s">
        <v>53</v>
      </c>
      <c r="AI274" s="6" t="s">
        <v>547</v>
      </c>
      <c r="AJ274" s="46" t="s">
        <v>550</v>
      </c>
    </row>
    <row r="275" spans="7:36" x14ac:dyDescent="0.3">
      <c r="G275" s="46">
        <v>490879</v>
      </c>
      <c r="H275" s="39" t="s">
        <v>175</v>
      </c>
      <c r="N275" s="30" t="s">
        <v>398</v>
      </c>
      <c r="O275" s="2">
        <v>500</v>
      </c>
      <c r="Q275" s="30">
        <v>1</v>
      </c>
      <c r="R275" s="44">
        <v>18.989999999999998</v>
      </c>
      <c r="T275" s="44">
        <v>18.989999999999998</v>
      </c>
      <c r="X275" s="5">
        <v>18.989999999999998</v>
      </c>
      <c r="Z275" s="54" t="s">
        <v>461</v>
      </c>
      <c r="AA275" s="30" t="s">
        <v>398</v>
      </c>
      <c r="AB275" s="2">
        <v>500</v>
      </c>
      <c r="AF275" s="46">
        <v>490879</v>
      </c>
      <c r="AG275" s="1" t="s">
        <v>538</v>
      </c>
      <c r="AH275" s="27" t="s">
        <v>175</v>
      </c>
      <c r="AI275" s="6" t="s">
        <v>547</v>
      </c>
      <c r="AJ275" s="46" t="s">
        <v>550</v>
      </c>
    </row>
    <row r="276" spans="7:36" x14ac:dyDescent="0.3">
      <c r="G276" s="46">
        <v>651254</v>
      </c>
      <c r="H276" s="39" t="s">
        <v>238</v>
      </c>
      <c r="N276" s="30" t="s">
        <v>394</v>
      </c>
      <c r="O276" s="2">
        <v>12</v>
      </c>
      <c r="Q276" s="30">
        <v>3</v>
      </c>
      <c r="R276" s="44">
        <v>6.29</v>
      </c>
      <c r="T276" s="44">
        <v>18.87</v>
      </c>
      <c r="X276" s="5">
        <v>18.87</v>
      </c>
      <c r="Z276" s="54" t="s">
        <v>480</v>
      </c>
      <c r="AA276" s="30" t="s">
        <v>394</v>
      </c>
      <c r="AB276" s="2">
        <v>12</v>
      </c>
      <c r="AF276" s="46">
        <v>651254</v>
      </c>
      <c r="AG276" s="1" t="s">
        <v>534</v>
      </c>
      <c r="AH276" s="27" t="s">
        <v>238</v>
      </c>
      <c r="AI276" s="6" t="s">
        <v>547</v>
      </c>
      <c r="AJ276" s="46" t="s">
        <v>550</v>
      </c>
    </row>
    <row r="277" spans="7:36" x14ac:dyDescent="0.3">
      <c r="G277" s="46">
        <v>576153</v>
      </c>
      <c r="H277" s="39" t="s">
        <v>217</v>
      </c>
      <c r="N277" s="30" t="s">
        <v>394</v>
      </c>
      <c r="O277" s="2">
        <v>12</v>
      </c>
      <c r="Q277" s="30">
        <v>2</v>
      </c>
      <c r="R277" s="44">
        <v>9.34</v>
      </c>
      <c r="T277" s="44">
        <v>18.68</v>
      </c>
      <c r="X277" s="5">
        <v>9.24</v>
      </c>
      <c r="Z277" s="54">
        <v>4.62</v>
      </c>
      <c r="AA277" s="30" t="s">
        <v>394</v>
      </c>
      <c r="AB277" s="2">
        <v>12</v>
      </c>
      <c r="AF277" s="46">
        <v>576153</v>
      </c>
      <c r="AG277" s="1" t="s">
        <v>534</v>
      </c>
      <c r="AH277" s="27" t="s">
        <v>217</v>
      </c>
      <c r="AI277" s="6" t="s">
        <v>547</v>
      </c>
      <c r="AJ277" s="46" t="s">
        <v>549</v>
      </c>
    </row>
    <row r="278" spans="7:36" x14ac:dyDescent="0.3">
      <c r="G278" s="46">
        <v>472944</v>
      </c>
      <c r="H278" s="39" t="s">
        <v>157</v>
      </c>
      <c r="N278" s="30" t="s">
        <v>392</v>
      </c>
      <c r="O278" s="2">
        <v>2000</v>
      </c>
      <c r="Q278" s="30">
        <v>1</v>
      </c>
      <c r="R278" s="44">
        <v>18.489999999999998</v>
      </c>
      <c r="T278" s="44">
        <v>18.489999999999998</v>
      </c>
      <c r="X278" s="5">
        <v>18.489999999999998</v>
      </c>
      <c r="Z278" s="54" t="s">
        <v>453</v>
      </c>
      <c r="AA278" s="30" t="s">
        <v>392</v>
      </c>
      <c r="AB278" s="2">
        <v>2000</v>
      </c>
      <c r="AF278" s="46">
        <v>472944</v>
      </c>
      <c r="AG278" s="1" t="s">
        <v>534</v>
      </c>
      <c r="AH278" s="27" t="s">
        <v>157</v>
      </c>
      <c r="AI278" s="6" t="s">
        <v>547</v>
      </c>
      <c r="AJ278" s="46" t="s">
        <v>550</v>
      </c>
    </row>
    <row r="279" spans="7:36" x14ac:dyDescent="0.3">
      <c r="G279" s="46">
        <v>818798</v>
      </c>
      <c r="H279" s="39" t="s">
        <v>266</v>
      </c>
      <c r="N279" s="30" t="s">
        <v>394</v>
      </c>
      <c r="O279" s="2">
        <v>12</v>
      </c>
      <c r="Q279" s="30">
        <v>1</v>
      </c>
      <c r="R279" s="44">
        <v>18.489999999999998</v>
      </c>
      <c r="T279" s="44">
        <v>18.489999999999998</v>
      </c>
      <c r="X279" s="5">
        <v>18.489999999999998</v>
      </c>
      <c r="Z279" s="54" t="s">
        <v>453</v>
      </c>
      <c r="AA279" s="30" t="s">
        <v>394</v>
      </c>
      <c r="AB279" s="2">
        <v>12</v>
      </c>
      <c r="AF279" s="46">
        <v>818798</v>
      </c>
      <c r="AG279" s="1" t="s">
        <v>534</v>
      </c>
      <c r="AH279" s="27" t="s">
        <v>266</v>
      </c>
      <c r="AI279" s="6" t="s">
        <v>547</v>
      </c>
      <c r="AJ279" s="46" t="s">
        <v>550</v>
      </c>
    </row>
    <row r="280" spans="7:36" x14ac:dyDescent="0.3">
      <c r="G280" s="46" t="s">
        <v>48</v>
      </c>
      <c r="H280" s="39"/>
      <c r="N280" s="30" t="s">
        <v>404</v>
      </c>
      <c r="O280" s="2">
        <v>100</v>
      </c>
      <c r="Q280" s="30">
        <v>16</v>
      </c>
      <c r="R280" s="44">
        <v>1.1499999999999999</v>
      </c>
      <c r="T280" s="44">
        <v>18.399999999999999</v>
      </c>
      <c r="X280" s="5">
        <v>15.84</v>
      </c>
      <c r="Z280" s="54" t="s">
        <v>533</v>
      </c>
      <c r="AA280" s="30" t="s">
        <v>404</v>
      </c>
      <c r="AB280" s="2">
        <v>100</v>
      </c>
      <c r="AF280" s="46" t="s">
        <v>48</v>
      </c>
      <c r="AG280" s="1" t="s">
        <v>534</v>
      </c>
      <c r="AH280" s="27" t="s">
        <v>553</v>
      </c>
      <c r="AI280" s="6" t="s">
        <v>547</v>
      </c>
      <c r="AJ280" s="46" t="s">
        <v>550</v>
      </c>
    </row>
    <row r="281" spans="7:36" x14ac:dyDescent="0.3">
      <c r="G281" s="46">
        <v>24424393</v>
      </c>
      <c r="H281" s="39" t="s">
        <v>373</v>
      </c>
      <c r="N281" s="30" t="s">
        <v>395</v>
      </c>
      <c r="O281" s="2">
        <v>1</v>
      </c>
      <c r="Q281" s="30">
        <v>2</v>
      </c>
      <c r="R281" s="44">
        <v>8.99</v>
      </c>
      <c r="T281" s="44">
        <v>17.98</v>
      </c>
      <c r="X281" s="5">
        <v>17.98</v>
      </c>
      <c r="Z281" s="54" t="s">
        <v>452</v>
      </c>
      <c r="AA281" s="30" t="s">
        <v>395</v>
      </c>
      <c r="AB281" s="2">
        <v>1</v>
      </c>
      <c r="AF281" s="46">
        <v>24424393</v>
      </c>
      <c r="AG281" s="1" t="s">
        <v>534</v>
      </c>
      <c r="AH281" s="27" t="s">
        <v>373</v>
      </c>
      <c r="AI281" s="6" t="s">
        <v>547</v>
      </c>
      <c r="AJ281" s="46" t="s">
        <v>550</v>
      </c>
    </row>
    <row r="282" spans="7:36" x14ac:dyDescent="0.3">
      <c r="G282" s="46">
        <v>24466933</v>
      </c>
      <c r="H282" s="39" t="s">
        <v>383</v>
      </c>
      <c r="N282" s="30" t="s">
        <v>405</v>
      </c>
      <c r="O282" s="2">
        <v>1</v>
      </c>
      <c r="Q282" s="30">
        <v>2</v>
      </c>
      <c r="R282" s="44">
        <v>8.99</v>
      </c>
      <c r="T282" s="44">
        <v>17.98</v>
      </c>
      <c r="X282" s="5">
        <v>17.98</v>
      </c>
      <c r="Z282" s="54">
        <v>8.99</v>
      </c>
      <c r="AA282" s="30" t="s">
        <v>405</v>
      </c>
      <c r="AB282" s="2">
        <v>1</v>
      </c>
      <c r="AF282" s="46">
        <v>24466933</v>
      </c>
      <c r="AG282" s="1" t="s">
        <v>534</v>
      </c>
      <c r="AH282" s="27" t="s">
        <v>383</v>
      </c>
      <c r="AI282" s="6" t="s">
        <v>547</v>
      </c>
      <c r="AJ282" s="46" t="s">
        <v>550</v>
      </c>
    </row>
    <row r="283" spans="7:36" x14ac:dyDescent="0.3">
      <c r="G283" s="46">
        <v>589826</v>
      </c>
      <c r="H283" s="39" t="s">
        <v>221</v>
      </c>
      <c r="N283" s="30" t="s">
        <v>394</v>
      </c>
      <c r="O283" s="2">
        <v>12</v>
      </c>
      <c r="Q283" s="30">
        <v>1</v>
      </c>
      <c r="R283" s="44">
        <v>17.79</v>
      </c>
      <c r="T283" s="44">
        <v>17.79</v>
      </c>
      <c r="X283" s="5">
        <v>17.79</v>
      </c>
      <c r="Z283" s="54" t="s">
        <v>473</v>
      </c>
      <c r="AA283" s="30" t="s">
        <v>394</v>
      </c>
      <c r="AB283" s="2">
        <v>12</v>
      </c>
      <c r="AF283" s="46">
        <v>589826</v>
      </c>
      <c r="AG283" s="1" t="s">
        <v>534</v>
      </c>
      <c r="AH283" s="27" t="s">
        <v>221</v>
      </c>
      <c r="AI283" s="6" t="s">
        <v>547</v>
      </c>
      <c r="AJ283" s="46" t="s">
        <v>550</v>
      </c>
    </row>
    <row r="284" spans="7:36" x14ac:dyDescent="0.3">
      <c r="G284" s="46">
        <v>24441565</v>
      </c>
      <c r="H284" s="39" t="s">
        <v>375</v>
      </c>
      <c r="N284" s="30" t="s">
        <v>395</v>
      </c>
      <c r="O284" s="2">
        <v>1</v>
      </c>
      <c r="Q284" s="30">
        <v>1</v>
      </c>
      <c r="R284" s="44">
        <v>17.690000000000001</v>
      </c>
      <c r="T284" s="44">
        <v>17.690000000000001</v>
      </c>
      <c r="X284" s="5">
        <v>17.690000000000001</v>
      </c>
      <c r="Z284" s="54" t="s">
        <v>526</v>
      </c>
      <c r="AA284" s="30" t="s">
        <v>395</v>
      </c>
      <c r="AB284" s="2">
        <v>1</v>
      </c>
      <c r="AF284" s="46">
        <v>24441565</v>
      </c>
      <c r="AG284" s="1" t="s">
        <v>534</v>
      </c>
      <c r="AH284" s="27" t="s">
        <v>375</v>
      </c>
      <c r="AI284" s="6" t="s">
        <v>547</v>
      </c>
      <c r="AJ284" s="46" t="s">
        <v>550</v>
      </c>
    </row>
    <row r="285" spans="7:36" x14ac:dyDescent="0.3">
      <c r="G285" s="46">
        <v>468173</v>
      </c>
      <c r="H285" s="39" t="s">
        <v>151</v>
      </c>
      <c r="N285" s="30" t="s">
        <v>393</v>
      </c>
      <c r="O285" s="2">
        <v>1</v>
      </c>
      <c r="Q285" s="30">
        <v>4</v>
      </c>
      <c r="R285" s="44">
        <v>4.4000000000000004</v>
      </c>
      <c r="T285" s="44">
        <v>17.600000000000001</v>
      </c>
      <c r="X285" s="5">
        <v>35.96</v>
      </c>
      <c r="Z285" s="54" t="s">
        <v>452</v>
      </c>
      <c r="AA285" s="30" t="s">
        <v>393</v>
      </c>
      <c r="AB285" s="2">
        <v>1</v>
      </c>
      <c r="AF285" s="46">
        <v>468173</v>
      </c>
      <c r="AG285" s="1" t="s">
        <v>540</v>
      </c>
      <c r="AH285" s="27" t="s">
        <v>151</v>
      </c>
      <c r="AI285" s="6" t="s">
        <v>547</v>
      </c>
      <c r="AJ285" s="46" t="s">
        <v>550</v>
      </c>
    </row>
    <row r="286" spans="7:36" x14ac:dyDescent="0.3">
      <c r="G286" s="46">
        <v>49025</v>
      </c>
      <c r="H286" s="39" t="s">
        <v>56</v>
      </c>
      <c r="N286" s="30" t="s">
        <v>394</v>
      </c>
      <c r="O286" s="2">
        <v>12</v>
      </c>
      <c r="Q286" s="30">
        <v>1</v>
      </c>
      <c r="R286" s="44">
        <v>17.489999999999998</v>
      </c>
      <c r="T286" s="44">
        <v>17.489999999999998</v>
      </c>
      <c r="X286" s="5">
        <v>17.489999999999998</v>
      </c>
      <c r="Z286" s="54" t="s">
        <v>412</v>
      </c>
      <c r="AA286" s="30" t="s">
        <v>394</v>
      </c>
      <c r="AB286" s="2">
        <v>12</v>
      </c>
      <c r="AF286" s="46">
        <v>49025</v>
      </c>
      <c r="AG286" s="1" t="s">
        <v>534</v>
      </c>
      <c r="AH286" s="27" t="s">
        <v>56</v>
      </c>
      <c r="AI286" s="6" t="s">
        <v>547</v>
      </c>
      <c r="AJ286" s="46" t="s">
        <v>550</v>
      </c>
    </row>
    <row r="287" spans="7:36" x14ac:dyDescent="0.3">
      <c r="G287" s="46">
        <v>499368</v>
      </c>
      <c r="H287" s="39" t="s">
        <v>184</v>
      </c>
      <c r="N287" s="30" t="s">
        <v>394</v>
      </c>
      <c r="O287" s="2">
        <v>12</v>
      </c>
      <c r="Q287" s="30">
        <v>8</v>
      </c>
      <c r="R287" s="44">
        <v>2.1800000000000002</v>
      </c>
      <c r="T287" s="44">
        <v>17.440000000000001</v>
      </c>
      <c r="X287" s="5">
        <v>23.92</v>
      </c>
      <c r="Z287" s="54" t="s">
        <v>425</v>
      </c>
      <c r="AA287" s="30" t="s">
        <v>394</v>
      </c>
      <c r="AB287" s="2">
        <v>12</v>
      </c>
      <c r="AF287" s="46">
        <v>499368</v>
      </c>
      <c r="AG287" s="1" t="s">
        <v>534</v>
      </c>
      <c r="AH287" s="27" t="s">
        <v>184</v>
      </c>
      <c r="AI287" s="6" t="s">
        <v>547</v>
      </c>
      <c r="AJ287" s="46" t="s">
        <v>550</v>
      </c>
    </row>
    <row r="288" spans="7:36" x14ac:dyDescent="0.3">
      <c r="G288" s="46">
        <v>829983</v>
      </c>
      <c r="H288" s="39" t="s">
        <v>270</v>
      </c>
      <c r="N288" s="30" t="s">
        <v>392</v>
      </c>
      <c r="O288" s="2">
        <v>6</v>
      </c>
      <c r="Q288" s="30">
        <v>1</v>
      </c>
      <c r="R288" s="44">
        <v>16.79</v>
      </c>
      <c r="T288" s="44">
        <v>16.79</v>
      </c>
      <c r="X288" s="5">
        <v>16.79</v>
      </c>
      <c r="Z288" s="54" t="s">
        <v>491</v>
      </c>
      <c r="AA288" s="30" t="s">
        <v>392</v>
      </c>
      <c r="AB288" s="2">
        <v>6</v>
      </c>
      <c r="AF288" s="46">
        <v>829983</v>
      </c>
      <c r="AG288" s="1" t="s">
        <v>534</v>
      </c>
      <c r="AH288" s="27" t="s">
        <v>270</v>
      </c>
      <c r="AI288" s="6" t="s">
        <v>547</v>
      </c>
      <c r="AJ288" s="46" t="s">
        <v>550</v>
      </c>
    </row>
    <row r="289" spans="7:36" x14ac:dyDescent="0.3">
      <c r="G289" s="46">
        <v>82656</v>
      </c>
      <c r="H289" s="39" t="s">
        <v>59</v>
      </c>
      <c r="N289" s="30" t="s">
        <v>395</v>
      </c>
      <c r="O289" s="2">
        <v>1</v>
      </c>
      <c r="Q289" s="30">
        <v>4</v>
      </c>
      <c r="R289" s="44">
        <v>3.99</v>
      </c>
      <c r="T289" s="44">
        <v>15.96</v>
      </c>
      <c r="X289" s="5">
        <v>15.96</v>
      </c>
      <c r="Z289" s="54" t="s">
        <v>415</v>
      </c>
      <c r="AA289" s="30" t="s">
        <v>395</v>
      </c>
      <c r="AB289" s="2">
        <v>1</v>
      </c>
      <c r="AF289" s="46">
        <v>82656</v>
      </c>
      <c r="AG289" s="1" t="s">
        <v>534</v>
      </c>
      <c r="AH289" s="27" t="s">
        <v>59</v>
      </c>
      <c r="AI289" s="6" t="s">
        <v>547</v>
      </c>
      <c r="AJ289" s="46" t="s">
        <v>550</v>
      </c>
    </row>
    <row r="290" spans="7:36" x14ac:dyDescent="0.3">
      <c r="G290" s="46">
        <v>24391001</v>
      </c>
      <c r="H290" s="39" t="s">
        <v>357</v>
      </c>
      <c r="N290" s="30" t="s">
        <v>392</v>
      </c>
      <c r="O290" s="2">
        <v>300</v>
      </c>
      <c r="Q290" s="30">
        <v>1</v>
      </c>
      <c r="R290" s="44">
        <v>15.79</v>
      </c>
      <c r="T290" s="44">
        <v>15.79</v>
      </c>
      <c r="X290" s="5">
        <v>15.79</v>
      </c>
      <c r="Z290" s="54" t="s">
        <v>522</v>
      </c>
      <c r="AA290" s="30" t="s">
        <v>392</v>
      </c>
      <c r="AB290" s="2">
        <v>300</v>
      </c>
      <c r="AF290" s="46">
        <v>24391001</v>
      </c>
      <c r="AG290" s="1" t="s">
        <v>542</v>
      </c>
      <c r="AH290" s="27" t="s">
        <v>357</v>
      </c>
      <c r="AI290" s="6" t="s">
        <v>547</v>
      </c>
      <c r="AJ290" s="46" t="s">
        <v>550</v>
      </c>
    </row>
    <row r="291" spans="7:36" x14ac:dyDescent="0.3">
      <c r="G291" s="46">
        <v>434934</v>
      </c>
      <c r="H291" s="39" t="s">
        <v>140</v>
      </c>
      <c r="N291" s="30" t="s">
        <v>394</v>
      </c>
      <c r="O291" s="2">
        <v>12</v>
      </c>
      <c r="Q291" s="30">
        <v>1</v>
      </c>
      <c r="R291" s="44">
        <v>15.49</v>
      </c>
      <c r="T291" s="44">
        <v>15.49</v>
      </c>
      <c r="X291" s="5">
        <v>15.49</v>
      </c>
      <c r="Z291" s="54" t="s">
        <v>447</v>
      </c>
      <c r="AA291" s="30" t="s">
        <v>394</v>
      </c>
      <c r="AB291" s="2">
        <v>12</v>
      </c>
      <c r="AF291" s="46">
        <v>434934</v>
      </c>
      <c r="AG291" s="1" t="s">
        <v>534</v>
      </c>
      <c r="AH291" s="27" t="s">
        <v>140</v>
      </c>
      <c r="AI291" s="6" t="s">
        <v>547</v>
      </c>
      <c r="AJ291" s="46" t="s">
        <v>550</v>
      </c>
    </row>
    <row r="292" spans="7:36" x14ac:dyDescent="0.3">
      <c r="G292" s="46">
        <v>24375263</v>
      </c>
      <c r="H292" s="39" t="s">
        <v>348</v>
      </c>
      <c r="N292" s="30" t="s">
        <v>392</v>
      </c>
      <c r="O292" s="2">
        <v>125</v>
      </c>
      <c r="Q292" s="30">
        <v>1</v>
      </c>
      <c r="R292" s="44">
        <v>15.49</v>
      </c>
      <c r="T292" s="44">
        <v>15.49</v>
      </c>
      <c r="X292" s="5">
        <v>8.6300000000000008</v>
      </c>
      <c r="Z292" s="54" t="s">
        <v>520</v>
      </c>
      <c r="AA292" s="30" t="s">
        <v>392</v>
      </c>
      <c r="AB292" s="2">
        <v>125</v>
      </c>
      <c r="AF292" s="46">
        <v>24375263</v>
      </c>
      <c r="AG292" s="1" t="s">
        <v>542</v>
      </c>
      <c r="AH292" s="27" t="s">
        <v>348</v>
      </c>
      <c r="AI292" s="6" t="s">
        <v>547</v>
      </c>
      <c r="AJ292" s="46" t="s">
        <v>550</v>
      </c>
    </row>
    <row r="293" spans="7:36" x14ac:dyDescent="0.3">
      <c r="G293" s="46">
        <v>442901</v>
      </c>
      <c r="H293" s="39" t="s">
        <v>144</v>
      </c>
      <c r="N293" s="30" t="s">
        <v>392</v>
      </c>
      <c r="O293" s="2">
        <v>60</v>
      </c>
      <c r="Q293" s="30">
        <v>2</v>
      </c>
      <c r="R293" s="44">
        <v>7.49</v>
      </c>
      <c r="T293" s="44">
        <v>14.98</v>
      </c>
      <c r="X293" s="5">
        <v>8.4600000000000009</v>
      </c>
      <c r="Z293" s="54" t="s">
        <v>449</v>
      </c>
      <c r="AA293" s="30" t="s">
        <v>392</v>
      </c>
      <c r="AB293" s="2">
        <v>60</v>
      </c>
      <c r="AF293" s="46">
        <v>442901</v>
      </c>
      <c r="AG293" s="1" t="s">
        <v>534</v>
      </c>
      <c r="AH293" s="27" t="s">
        <v>144</v>
      </c>
      <c r="AI293" s="6" t="s">
        <v>547</v>
      </c>
      <c r="AJ293" s="46" t="s">
        <v>549</v>
      </c>
    </row>
    <row r="294" spans="7:36" x14ac:dyDescent="0.3">
      <c r="G294" s="46">
        <v>589824</v>
      </c>
      <c r="H294" s="39" t="s">
        <v>220</v>
      </c>
      <c r="N294" s="30" t="s">
        <v>394</v>
      </c>
      <c r="O294" s="2">
        <v>12</v>
      </c>
      <c r="Q294" s="30">
        <v>1</v>
      </c>
      <c r="R294" s="44">
        <v>14.79</v>
      </c>
      <c r="T294" s="44">
        <v>14.79</v>
      </c>
      <c r="X294" s="5">
        <v>8.0500000000000007</v>
      </c>
      <c r="Z294" s="54" t="s">
        <v>472</v>
      </c>
      <c r="AA294" s="30" t="s">
        <v>394</v>
      </c>
      <c r="AB294" s="2">
        <v>12</v>
      </c>
      <c r="AF294" s="46">
        <v>589824</v>
      </c>
      <c r="AG294" s="1" t="s">
        <v>534</v>
      </c>
      <c r="AH294" s="27" t="s">
        <v>220</v>
      </c>
      <c r="AI294" s="6" t="s">
        <v>547</v>
      </c>
      <c r="AJ294" s="46" t="s">
        <v>549</v>
      </c>
    </row>
    <row r="295" spans="7:36" x14ac:dyDescent="0.3">
      <c r="G295" s="46">
        <v>166751</v>
      </c>
      <c r="H295" s="39" t="s">
        <v>93</v>
      </c>
      <c r="N295" s="30" t="s">
        <v>392</v>
      </c>
      <c r="O295" s="2">
        <v>1008</v>
      </c>
      <c r="Q295" s="30">
        <v>4</v>
      </c>
      <c r="R295" s="44">
        <v>3.65</v>
      </c>
      <c r="T295" s="44">
        <v>14.6</v>
      </c>
      <c r="X295" s="5">
        <v>10.68</v>
      </c>
      <c r="Z295" s="54">
        <v>2.67</v>
      </c>
      <c r="AA295" s="30" t="s">
        <v>392</v>
      </c>
      <c r="AB295" s="2">
        <v>1008</v>
      </c>
      <c r="AF295" s="46">
        <v>166751</v>
      </c>
      <c r="AG295" s="1" t="s">
        <v>534</v>
      </c>
      <c r="AH295" s="27" t="s">
        <v>93</v>
      </c>
      <c r="AI295" s="6" t="s">
        <v>547</v>
      </c>
      <c r="AJ295" s="46" t="s">
        <v>549</v>
      </c>
    </row>
    <row r="296" spans="7:36" x14ac:dyDescent="0.3">
      <c r="G296" s="46">
        <v>744375</v>
      </c>
      <c r="H296" s="39" t="s">
        <v>248</v>
      </c>
      <c r="N296" s="30" t="s">
        <v>395</v>
      </c>
      <c r="O296" s="2">
        <v>1</v>
      </c>
      <c r="Q296" s="30">
        <v>1</v>
      </c>
      <c r="R296" s="44">
        <v>14.49</v>
      </c>
      <c r="T296" s="44">
        <v>14.49</v>
      </c>
      <c r="X296" s="5">
        <v>17.989999999999998</v>
      </c>
      <c r="Z296" s="54" t="s">
        <v>411</v>
      </c>
      <c r="AA296" s="30" t="s">
        <v>395</v>
      </c>
      <c r="AB296" s="2">
        <v>1</v>
      </c>
      <c r="AF296" s="46">
        <v>744375</v>
      </c>
      <c r="AG296" s="1" t="s">
        <v>539</v>
      </c>
      <c r="AH296" s="27" t="s">
        <v>248</v>
      </c>
      <c r="AI296" s="6" t="s">
        <v>547</v>
      </c>
      <c r="AJ296" s="46" t="s">
        <v>550</v>
      </c>
    </row>
    <row r="297" spans="7:36" x14ac:dyDescent="0.3">
      <c r="G297" s="46">
        <v>24428119</v>
      </c>
      <c r="H297" s="39" t="s">
        <v>374</v>
      </c>
      <c r="N297" s="30" t="s">
        <v>394</v>
      </c>
      <c r="O297" s="2">
        <v>12</v>
      </c>
      <c r="Q297" s="30">
        <v>1</v>
      </c>
      <c r="R297" s="44">
        <v>13.99</v>
      </c>
      <c r="T297" s="44">
        <v>13.99</v>
      </c>
      <c r="X297" s="5">
        <v>13.99</v>
      </c>
      <c r="Z297" s="54" t="s">
        <v>439</v>
      </c>
      <c r="AA297" s="30" t="s">
        <v>394</v>
      </c>
      <c r="AB297" s="2">
        <v>12</v>
      </c>
      <c r="AF297" s="46">
        <v>24428119</v>
      </c>
      <c r="AG297" s="1" t="s">
        <v>534</v>
      </c>
      <c r="AH297" s="27" t="s">
        <v>374</v>
      </c>
      <c r="AI297" s="6" t="s">
        <v>547</v>
      </c>
      <c r="AJ297" s="46" t="s">
        <v>550</v>
      </c>
    </row>
    <row r="298" spans="7:36" x14ac:dyDescent="0.3">
      <c r="G298" s="46">
        <v>646093</v>
      </c>
      <c r="H298" s="39" t="s">
        <v>235</v>
      </c>
      <c r="N298" s="30" t="s">
        <v>392</v>
      </c>
      <c r="O298" s="2">
        <v>225</v>
      </c>
      <c r="Q298" s="30">
        <v>12</v>
      </c>
      <c r="R298" s="44">
        <v>1.1599999999999999</v>
      </c>
      <c r="T298" s="44">
        <v>13.919999999999998</v>
      </c>
      <c r="X298" s="5">
        <v>39.480000000000004</v>
      </c>
      <c r="Z298" s="54" t="s">
        <v>470</v>
      </c>
      <c r="AA298" s="30" t="s">
        <v>392</v>
      </c>
      <c r="AB298" s="2">
        <v>225</v>
      </c>
      <c r="AF298" s="46">
        <v>646093</v>
      </c>
      <c r="AG298" s="1" t="s">
        <v>534</v>
      </c>
      <c r="AH298" s="27" t="s">
        <v>235</v>
      </c>
      <c r="AI298" s="6" t="s">
        <v>547</v>
      </c>
      <c r="AJ298" s="46" t="s">
        <v>550</v>
      </c>
    </row>
    <row r="299" spans="7:36" x14ac:dyDescent="0.3">
      <c r="G299" s="46">
        <v>491611</v>
      </c>
      <c r="H299" s="39" t="s">
        <v>182</v>
      </c>
      <c r="N299" s="30" t="s">
        <v>392</v>
      </c>
      <c r="O299" s="2">
        <v>60</v>
      </c>
      <c r="Q299" s="30">
        <v>1</v>
      </c>
      <c r="R299" s="44">
        <v>13.79</v>
      </c>
      <c r="T299" s="44">
        <v>13.79</v>
      </c>
      <c r="X299" s="5">
        <v>13.79</v>
      </c>
      <c r="Z299" s="54" t="s">
        <v>463</v>
      </c>
      <c r="AA299" s="30" t="s">
        <v>392</v>
      </c>
      <c r="AB299" s="2">
        <v>60</v>
      </c>
      <c r="AF299" s="46">
        <v>491611</v>
      </c>
      <c r="AG299" s="1" t="s">
        <v>534</v>
      </c>
      <c r="AH299" s="27" t="s">
        <v>182</v>
      </c>
      <c r="AI299" s="6" t="s">
        <v>547</v>
      </c>
      <c r="AJ299" s="46" t="s">
        <v>550</v>
      </c>
    </row>
    <row r="300" spans="7:36" x14ac:dyDescent="0.3">
      <c r="G300" s="46">
        <v>176511</v>
      </c>
      <c r="H300" s="39" t="s">
        <v>96</v>
      </c>
      <c r="N300" s="30" t="s">
        <v>394</v>
      </c>
      <c r="O300" s="2">
        <v>12</v>
      </c>
      <c r="Q300" s="30">
        <v>1</v>
      </c>
      <c r="R300" s="44">
        <v>13.79</v>
      </c>
      <c r="T300" s="44">
        <v>13.79</v>
      </c>
      <c r="X300" s="5">
        <v>3.25</v>
      </c>
      <c r="Z300" s="54">
        <v>3.25</v>
      </c>
      <c r="AA300" s="30" t="s">
        <v>394</v>
      </c>
      <c r="AB300" s="2">
        <v>12</v>
      </c>
      <c r="AF300" s="46">
        <v>176511</v>
      </c>
      <c r="AG300" s="1" t="s">
        <v>538</v>
      </c>
      <c r="AH300" s="27" t="s">
        <v>96</v>
      </c>
      <c r="AI300" s="6" t="s">
        <v>547</v>
      </c>
      <c r="AJ300" s="46" t="s">
        <v>549</v>
      </c>
    </row>
    <row r="301" spans="7:36" x14ac:dyDescent="0.3">
      <c r="G301" s="46">
        <v>651255</v>
      </c>
      <c r="H301" s="39" t="s">
        <v>239</v>
      </c>
      <c r="N301" s="30" t="s">
        <v>394</v>
      </c>
      <c r="O301" s="2">
        <v>12</v>
      </c>
      <c r="Q301" s="30">
        <v>2</v>
      </c>
      <c r="R301" s="44">
        <v>6.79</v>
      </c>
      <c r="T301" s="44">
        <v>13.58</v>
      </c>
      <c r="X301" s="5">
        <v>13.58</v>
      </c>
      <c r="Z301" s="54" t="s">
        <v>469</v>
      </c>
      <c r="AA301" s="30" t="s">
        <v>394</v>
      </c>
      <c r="AB301" s="2">
        <v>12</v>
      </c>
      <c r="AF301" s="46">
        <v>651255</v>
      </c>
      <c r="AG301" s="1" t="s">
        <v>534</v>
      </c>
      <c r="AH301" s="27" t="s">
        <v>239</v>
      </c>
      <c r="AI301" s="6" t="s">
        <v>547</v>
      </c>
      <c r="AJ301" s="46" t="s">
        <v>550</v>
      </c>
    </row>
    <row r="302" spans="7:36" x14ac:dyDescent="0.3">
      <c r="G302" s="46">
        <v>24390987</v>
      </c>
      <c r="H302" s="39" t="s">
        <v>355</v>
      </c>
      <c r="N302" s="30" t="s">
        <v>392</v>
      </c>
      <c r="O302" s="2">
        <v>300</v>
      </c>
      <c r="Q302" s="30">
        <v>1</v>
      </c>
      <c r="R302" s="44">
        <v>13.49</v>
      </c>
      <c r="T302" s="44">
        <v>13.49</v>
      </c>
      <c r="X302" s="5">
        <v>13.49</v>
      </c>
      <c r="Z302" s="54" t="s">
        <v>500</v>
      </c>
      <c r="AA302" s="30" t="s">
        <v>392</v>
      </c>
      <c r="AB302" s="2">
        <v>300</v>
      </c>
      <c r="AF302" s="46">
        <v>24390987</v>
      </c>
      <c r="AG302" s="1" t="s">
        <v>542</v>
      </c>
      <c r="AH302" s="27" t="s">
        <v>355</v>
      </c>
      <c r="AI302" s="6" t="s">
        <v>547</v>
      </c>
      <c r="AJ302" s="46" t="s">
        <v>550</v>
      </c>
    </row>
    <row r="303" spans="7:36" x14ac:dyDescent="0.3">
      <c r="G303" s="46">
        <v>1144681</v>
      </c>
      <c r="H303" s="39" t="s">
        <v>304</v>
      </c>
      <c r="N303" s="30" t="s">
        <v>397</v>
      </c>
      <c r="O303" s="2">
        <v>1000</v>
      </c>
      <c r="Q303" s="30">
        <v>1</v>
      </c>
      <c r="R303" s="44">
        <v>13.29</v>
      </c>
      <c r="T303" s="44">
        <v>13.29</v>
      </c>
      <c r="X303" s="5">
        <v>13.29</v>
      </c>
      <c r="Z303" s="54" t="s">
        <v>438</v>
      </c>
      <c r="AA303" s="30" t="s">
        <v>397</v>
      </c>
      <c r="AB303" s="2">
        <v>1000</v>
      </c>
      <c r="AF303" s="46">
        <v>1144681</v>
      </c>
      <c r="AG303" s="1" t="s">
        <v>542</v>
      </c>
      <c r="AH303" s="27" t="s">
        <v>304</v>
      </c>
      <c r="AI303" s="6" t="s">
        <v>547</v>
      </c>
      <c r="AJ303" s="46" t="s">
        <v>550</v>
      </c>
    </row>
    <row r="304" spans="7:36" x14ac:dyDescent="0.3">
      <c r="G304" s="46">
        <v>938392</v>
      </c>
      <c r="H304" s="39" t="s">
        <v>298</v>
      </c>
      <c r="N304" s="30" t="s">
        <v>395</v>
      </c>
      <c r="O304" s="2">
        <v>1</v>
      </c>
      <c r="Q304" s="30">
        <v>1</v>
      </c>
      <c r="R304" s="44">
        <v>12.99</v>
      </c>
      <c r="T304" s="44">
        <v>12.99</v>
      </c>
      <c r="X304" s="5">
        <v>15.29</v>
      </c>
      <c r="Z304" s="54" t="s">
        <v>490</v>
      </c>
      <c r="AA304" s="30" t="s">
        <v>395</v>
      </c>
      <c r="AB304" s="2">
        <v>1</v>
      </c>
      <c r="AF304" s="46">
        <v>938392</v>
      </c>
      <c r="AG304" s="1" t="s">
        <v>539</v>
      </c>
      <c r="AH304" s="27" t="s">
        <v>298</v>
      </c>
      <c r="AI304" s="6" t="s">
        <v>547</v>
      </c>
      <c r="AJ304" s="46" t="s">
        <v>550</v>
      </c>
    </row>
    <row r="305" spans="7:36" x14ac:dyDescent="0.3">
      <c r="G305" s="46">
        <v>142312</v>
      </c>
      <c r="H305" s="39" t="s">
        <v>83</v>
      </c>
      <c r="N305" s="30" t="s">
        <v>395</v>
      </c>
      <c r="O305" s="2">
        <v>1</v>
      </c>
      <c r="Q305" s="30">
        <v>1</v>
      </c>
      <c r="R305" s="44">
        <v>12.89</v>
      </c>
      <c r="T305" s="44">
        <v>12.89</v>
      </c>
      <c r="X305" s="5">
        <v>12.99</v>
      </c>
      <c r="Z305" s="54" t="s">
        <v>426</v>
      </c>
      <c r="AA305" s="30" t="s">
        <v>395</v>
      </c>
      <c r="AB305" s="2">
        <v>1</v>
      </c>
      <c r="AF305" s="46">
        <v>142312</v>
      </c>
      <c r="AG305" s="1" t="s">
        <v>539</v>
      </c>
      <c r="AH305" s="27" t="s">
        <v>83</v>
      </c>
      <c r="AI305" s="6" t="s">
        <v>547</v>
      </c>
      <c r="AJ305" s="46" t="s">
        <v>550</v>
      </c>
    </row>
    <row r="306" spans="7:36" x14ac:dyDescent="0.3">
      <c r="G306" s="46">
        <v>500264</v>
      </c>
      <c r="H306" s="39" t="s">
        <v>185</v>
      </c>
      <c r="N306" s="30" t="s">
        <v>395</v>
      </c>
      <c r="O306" s="2">
        <v>1</v>
      </c>
      <c r="Q306" s="30">
        <v>12</v>
      </c>
      <c r="R306" s="44">
        <v>1.07</v>
      </c>
      <c r="T306" s="44">
        <v>12.84</v>
      </c>
      <c r="X306" s="5">
        <v>21.48</v>
      </c>
      <c r="Z306" s="54" t="s">
        <v>465</v>
      </c>
      <c r="AA306" s="30" t="s">
        <v>395</v>
      </c>
      <c r="AB306" s="2">
        <v>1</v>
      </c>
      <c r="AF306" s="46">
        <v>500264</v>
      </c>
      <c r="AG306" s="1" t="s">
        <v>534</v>
      </c>
      <c r="AH306" s="27" t="s">
        <v>185</v>
      </c>
      <c r="AI306" s="6" t="s">
        <v>547</v>
      </c>
      <c r="AJ306" s="46" t="s">
        <v>550</v>
      </c>
    </row>
    <row r="307" spans="7:36" x14ac:dyDescent="0.3">
      <c r="G307" s="46">
        <v>811192</v>
      </c>
      <c r="H307" s="39" t="s">
        <v>261</v>
      </c>
      <c r="N307" s="30" t="s">
        <v>395</v>
      </c>
      <c r="O307" s="2">
        <v>1</v>
      </c>
      <c r="Q307" s="30">
        <v>2</v>
      </c>
      <c r="R307" s="44">
        <v>6.29</v>
      </c>
      <c r="T307" s="44">
        <v>12.58</v>
      </c>
      <c r="X307" s="5">
        <v>12.58</v>
      </c>
      <c r="Z307" s="54" t="s">
        <v>480</v>
      </c>
      <c r="AA307" s="30" t="s">
        <v>395</v>
      </c>
      <c r="AB307" s="2">
        <v>1</v>
      </c>
      <c r="AF307" s="46">
        <v>811192</v>
      </c>
      <c r="AG307" s="1" t="s">
        <v>534</v>
      </c>
      <c r="AH307" s="27" t="s">
        <v>261</v>
      </c>
      <c r="AI307" s="6" t="s">
        <v>547</v>
      </c>
      <c r="AJ307" s="46" t="s">
        <v>550</v>
      </c>
    </row>
    <row r="308" spans="7:36" x14ac:dyDescent="0.3">
      <c r="G308" s="46">
        <v>24339940</v>
      </c>
      <c r="H308" s="39" t="s">
        <v>346</v>
      </c>
      <c r="N308" s="30" t="s">
        <v>395</v>
      </c>
      <c r="O308" s="2">
        <v>1</v>
      </c>
      <c r="Q308" s="30">
        <v>1</v>
      </c>
      <c r="R308" s="44">
        <v>11.99</v>
      </c>
      <c r="T308" s="44">
        <v>11.99</v>
      </c>
      <c r="X308" s="5">
        <v>11.99</v>
      </c>
      <c r="Z308" s="54" t="s">
        <v>518</v>
      </c>
      <c r="AA308" s="30" t="s">
        <v>395</v>
      </c>
      <c r="AB308" s="2">
        <v>1</v>
      </c>
      <c r="AF308" s="46">
        <v>24339940</v>
      </c>
      <c r="AG308" s="1" t="s">
        <v>539</v>
      </c>
      <c r="AH308" s="27" t="s">
        <v>346</v>
      </c>
      <c r="AI308" s="6" t="s">
        <v>547</v>
      </c>
      <c r="AJ308" s="46" t="s">
        <v>550</v>
      </c>
    </row>
    <row r="309" spans="7:36" x14ac:dyDescent="0.3">
      <c r="G309" s="46">
        <v>24474008</v>
      </c>
      <c r="H309" s="39" t="s">
        <v>386</v>
      </c>
      <c r="N309" s="30" t="s">
        <v>392</v>
      </c>
      <c r="O309" s="2">
        <v>6</v>
      </c>
      <c r="Q309" s="30">
        <v>1</v>
      </c>
      <c r="R309" s="44">
        <v>10.79</v>
      </c>
      <c r="T309" s="44">
        <v>10.79</v>
      </c>
      <c r="X309" s="5">
        <v>10.79</v>
      </c>
      <c r="Z309" s="54" t="s">
        <v>524</v>
      </c>
      <c r="AA309" s="30" t="s">
        <v>392</v>
      </c>
      <c r="AB309" s="2">
        <v>6</v>
      </c>
      <c r="AF309" s="46">
        <v>24474008</v>
      </c>
      <c r="AG309" s="1" t="s">
        <v>534</v>
      </c>
      <c r="AH309" s="27" t="s">
        <v>386</v>
      </c>
      <c r="AI309" s="6" t="s">
        <v>547</v>
      </c>
      <c r="AJ309" s="46" t="s">
        <v>550</v>
      </c>
    </row>
    <row r="310" spans="7:36" x14ac:dyDescent="0.3">
      <c r="G310" s="46">
        <v>1671418</v>
      </c>
      <c r="H310" s="39" t="s">
        <v>308</v>
      </c>
      <c r="N310" s="30" t="s">
        <v>395</v>
      </c>
      <c r="O310" s="2">
        <v>1</v>
      </c>
      <c r="Q310" s="30">
        <v>2</v>
      </c>
      <c r="R310" s="44">
        <v>4.99</v>
      </c>
      <c r="T310" s="44">
        <v>9.98</v>
      </c>
      <c r="X310" s="5">
        <v>9.98</v>
      </c>
      <c r="Z310" s="54" t="s">
        <v>504</v>
      </c>
      <c r="AA310" s="30" t="s">
        <v>395</v>
      </c>
      <c r="AB310" s="2">
        <v>1</v>
      </c>
      <c r="AF310" s="46">
        <v>1671418</v>
      </c>
      <c r="AG310" s="1" t="s">
        <v>534</v>
      </c>
      <c r="AH310" s="27" t="s">
        <v>308</v>
      </c>
      <c r="AI310" s="6" t="s">
        <v>547</v>
      </c>
      <c r="AJ310" s="46" t="s">
        <v>550</v>
      </c>
    </row>
    <row r="311" spans="7:36" x14ac:dyDescent="0.3">
      <c r="G311" s="46">
        <v>143297</v>
      </c>
      <c r="H311" s="39" t="s">
        <v>85</v>
      </c>
      <c r="N311" s="30" t="s">
        <v>392</v>
      </c>
      <c r="O311" s="2">
        <v>95</v>
      </c>
      <c r="Q311" s="30">
        <v>12</v>
      </c>
      <c r="R311" s="44">
        <v>0.83</v>
      </c>
      <c r="T311" s="44">
        <v>9.9599999999999991</v>
      </c>
      <c r="X311" s="5">
        <v>9.9599999999999991</v>
      </c>
      <c r="Z311" s="54">
        <v>0.83</v>
      </c>
      <c r="AA311" s="30" t="s">
        <v>392</v>
      </c>
      <c r="AB311" s="2">
        <v>95</v>
      </c>
      <c r="AF311" s="46">
        <v>143297</v>
      </c>
      <c r="AG311" s="1" t="s">
        <v>534</v>
      </c>
      <c r="AH311" s="27" t="s">
        <v>85</v>
      </c>
      <c r="AI311" s="6" t="s">
        <v>547</v>
      </c>
      <c r="AJ311" s="46" t="s">
        <v>548</v>
      </c>
    </row>
    <row r="312" spans="7:36" x14ac:dyDescent="0.3">
      <c r="G312" s="46">
        <v>620700</v>
      </c>
      <c r="H312" s="39" t="s">
        <v>230</v>
      </c>
      <c r="N312" s="30" t="s">
        <v>392</v>
      </c>
      <c r="O312" s="2">
        <v>250</v>
      </c>
      <c r="Q312" s="30">
        <v>1</v>
      </c>
      <c r="R312" s="44">
        <v>8.92</v>
      </c>
      <c r="T312" s="44">
        <v>8.92</v>
      </c>
      <c r="X312" s="5">
        <v>21.49</v>
      </c>
      <c r="Z312" s="54" t="s">
        <v>476</v>
      </c>
      <c r="AA312" s="30" t="s">
        <v>392</v>
      </c>
      <c r="AB312" s="2">
        <v>250</v>
      </c>
      <c r="AF312" s="46">
        <v>620700</v>
      </c>
      <c r="AG312" s="1" t="s">
        <v>538</v>
      </c>
      <c r="AH312" s="27" t="s">
        <v>230</v>
      </c>
      <c r="AI312" s="6" t="s">
        <v>547</v>
      </c>
      <c r="AJ312" s="46" t="s">
        <v>550</v>
      </c>
    </row>
    <row r="313" spans="7:36" x14ac:dyDescent="0.3">
      <c r="G313" s="46">
        <v>24377879</v>
      </c>
      <c r="H313" s="39" t="s">
        <v>353</v>
      </c>
      <c r="N313" s="30" t="s">
        <v>396</v>
      </c>
      <c r="O313" s="2">
        <v>30</v>
      </c>
      <c r="Q313" s="30">
        <v>1</v>
      </c>
      <c r="R313" s="44">
        <v>8.7899999999999991</v>
      </c>
      <c r="T313" s="44">
        <v>8.7899999999999991</v>
      </c>
      <c r="X313" s="5">
        <v>7.13</v>
      </c>
      <c r="Z313" s="54" t="s">
        <v>521</v>
      </c>
      <c r="AA313" s="30" t="s">
        <v>396</v>
      </c>
      <c r="AB313" s="2">
        <v>30</v>
      </c>
      <c r="AF313" s="46">
        <v>24377879</v>
      </c>
      <c r="AG313" s="1" t="s">
        <v>535</v>
      </c>
      <c r="AH313" s="27" t="s">
        <v>353</v>
      </c>
      <c r="AI313" s="6" t="s">
        <v>547</v>
      </c>
      <c r="AJ313" s="46" t="s">
        <v>549</v>
      </c>
    </row>
    <row r="314" spans="7:36" x14ac:dyDescent="0.3">
      <c r="G314" s="46">
        <v>753915</v>
      </c>
      <c r="H314" s="39" t="s">
        <v>250</v>
      </c>
      <c r="N314" s="30" t="s">
        <v>394</v>
      </c>
      <c r="O314" s="2">
        <v>12</v>
      </c>
      <c r="Q314" s="30">
        <v>3</v>
      </c>
      <c r="R314" s="44">
        <v>2.79</v>
      </c>
      <c r="T314" s="44">
        <v>8.370000000000001</v>
      </c>
      <c r="X314" s="5">
        <v>8.370000000000001</v>
      </c>
      <c r="Z314" s="54" t="s">
        <v>485</v>
      </c>
      <c r="AA314" s="30" t="s">
        <v>394</v>
      </c>
      <c r="AB314" s="2">
        <v>12</v>
      </c>
      <c r="AF314" s="46">
        <v>753915</v>
      </c>
      <c r="AG314" s="1" t="s">
        <v>534</v>
      </c>
      <c r="AH314" s="27" t="s">
        <v>250</v>
      </c>
      <c r="AI314" s="6" t="s">
        <v>547</v>
      </c>
      <c r="AJ314" s="46" t="s">
        <v>550</v>
      </c>
    </row>
    <row r="315" spans="7:36" x14ac:dyDescent="0.3">
      <c r="G315" s="46">
        <v>396192</v>
      </c>
      <c r="H315" s="39" t="s">
        <v>135</v>
      </c>
      <c r="N315" s="30" t="s">
        <v>401</v>
      </c>
      <c r="O315" s="2">
        <v>8</v>
      </c>
      <c r="Q315" s="30">
        <v>1</v>
      </c>
      <c r="R315" s="44">
        <v>7.99</v>
      </c>
      <c r="T315" s="44">
        <v>7.99</v>
      </c>
      <c r="X315" s="5">
        <v>7.99</v>
      </c>
      <c r="Z315" s="54" t="s">
        <v>445</v>
      </c>
      <c r="AA315" s="30" t="s">
        <v>401</v>
      </c>
      <c r="AB315" s="2">
        <v>8</v>
      </c>
      <c r="AF315" s="46">
        <v>396192</v>
      </c>
      <c r="AG315" s="1" t="s">
        <v>534</v>
      </c>
      <c r="AH315" s="27" t="s">
        <v>135</v>
      </c>
      <c r="AI315" s="6" t="s">
        <v>547</v>
      </c>
      <c r="AJ315" s="46" t="s">
        <v>550</v>
      </c>
    </row>
    <row r="316" spans="7:36" x14ac:dyDescent="0.3">
      <c r="G316" s="46">
        <v>24390991</v>
      </c>
      <c r="H316" s="39" t="s">
        <v>356</v>
      </c>
      <c r="N316" s="30" t="s">
        <v>392</v>
      </c>
      <c r="O316" s="2">
        <v>300</v>
      </c>
      <c r="Q316" s="30">
        <v>1</v>
      </c>
      <c r="R316" s="44">
        <v>7.99</v>
      </c>
      <c r="T316" s="44">
        <v>7.99</v>
      </c>
      <c r="X316" s="5">
        <v>7.99</v>
      </c>
      <c r="Z316" s="54" t="s">
        <v>445</v>
      </c>
      <c r="AA316" s="30" t="s">
        <v>392</v>
      </c>
      <c r="AB316" s="2">
        <v>300</v>
      </c>
      <c r="AF316" s="46">
        <v>24390991</v>
      </c>
      <c r="AG316" s="1" t="s">
        <v>542</v>
      </c>
      <c r="AH316" s="27" t="s">
        <v>356</v>
      </c>
      <c r="AI316" s="6" t="s">
        <v>547</v>
      </c>
      <c r="AJ316" s="46" t="s">
        <v>550</v>
      </c>
    </row>
    <row r="317" spans="7:36" x14ac:dyDescent="0.3">
      <c r="G317" s="46">
        <v>382728</v>
      </c>
      <c r="H317" s="39" t="s">
        <v>132</v>
      </c>
      <c r="N317" s="30" t="s">
        <v>394</v>
      </c>
      <c r="O317" s="2">
        <v>12</v>
      </c>
      <c r="Q317" s="30">
        <v>2</v>
      </c>
      <c r="R317" s="44">
        <v>3.99</v>
      </c>
      <c r="T317" s="44">
        <v>7.98</v>
      </c>
      <c r="X317" s="5">
        <v>7.98</v>
      </c>
      <c r="Z317" s="54" t="s">
        <v>415</v>
      </c>
      <c r="AA317" s="30" t="s">
        <v>394</v>
      </c>
      <c r="AB317" s="2">
        <v>12</v>
      </c>
      <c r="AF317" s="46">
        <v>382728</v>
      </c>
      <c r="AG317" s="1" t="s">
        <v>534</v>
      </c>
      <c r="AH317" s="27" t="s">
        <v>132</v>
      </c>
      <c r="AI317" s="6" t="s">
        <v>547</v>
      </c>
      <c r="AJ317" s="46" t="s">
        <v>550</v>
      </c>
    </row>
    <row r="318" spans="7:36" x14ac:dyDescent="0.3">
      <c r="G318" s="46">
        <v>2095552</v>
      </c>
      <c r="H318" s="39" t="s">
        <v>321</v>
      </c>
      <c r="N318" s="30" t="s">
        <v>392</v>
      </c>
      <c r="O318" s="2">
        <v>3</v>
      </c>
      <c r="Q318" s="30">
        <v>1</v>
      </c>
      <c r="R318" s="44">
        <v>7.93</v>
      </c>
      <c r="T318" s="44">
        <v>7.93</v>
      </c>
      <c r="X318" s="5">
        <v>11.79</v>
      </c>
      <c r="Z318" s="54" t="s">
        <v>489</v>
      </c>
      <c r="AA318" s="30" t="s">
        <v>392</v>
      </c>
      <c r="AB318" s="2">
        <v>3</v>
      </c>
      <c r="AF318" s="46">
        <v>2095552</v>
      </c>
      <c r="AG318" s="1" t="s">
        <v>534</v>
      </c>
      <c r="AH318" s="27" t="s">
        <v>321</v>
      </c>
      <c r="AI318" s="6" t="s">
        <v>547</v>
      </c>
      <c r="AJ318" s="46" t="s">
        <v>550</v>
      </c>
    </row>
    <row r="319" spans="7:36" x14ac:dyDescent="0.3">
      <c r="G319" s="46">
        <v>520150</v>
      </c>
      <c r="H319" s="39" t="s">
        <v>201</v>
      </c>
      <c r="N319" s="30" t="s">
        <v>395</v>
      </c>
      <c r="O319" s="2">
        <v>1</v>
      </c>
      <c r="Q319" s="30">
        <v>1</v>
      </c>
      <c r="R319" s="44">
        <v>7.79</v>
      </c>
      <c r="T319" s="44">
        <v>7.79</v>
      </c>
      <c r="X319" s="5">
        <v>7.79</v>
      </c>
      <c r="Z319" s="54" t="s">
        <v>442</v>
      </c>
      <c r="AA319" s="30" t="s">
        <v>395</v>
      </c>
      <c r="AB319" s="2">
        <v>1</v>
      </c>
      <c r="AF319" s="46">
        <v>520150</v>
      </c>
      <c r="AG319" s="1" t="s">
        <v>543</v>
      </c>
      <c r="AH319" s="27" t="s">
        <v>201</v>
      </c>
      <c r="AI319" s="6" t="s">
        <v>547</v>
      </c>
      <c r="AJ319" s="46" t="s">
        <v>550</v>
      </c>
    </row>
    <row r="320" spans="7:36" x14ac:dyDescent="0.3">
      <c r="G320" s="46">
        <v>24323552</v>
      </c>
      <c r="H320" s="39" t="s">
        <v>342</v>
      </c>
      <c r="N320" s="30" t="s">
        <v>392</v>
      </c>
      <c r="O320" s="2">
        <v>10</v>
      </c>
      <c r="Q320" s="30">
        <v>1</v>
      </c>
      <c r="R320" s="44">
        <v>7.79</v>
      </c>
      <c r="T320" s="44">
        <v>7.79</v>
      </c>
      <c r="X320" s="5">
        <v>5.89</v>
      </c>
      <c r="Z320" s="54">
        <v>5.89</v>
      </c>
      <c r="AA320" s="30" t="s">
        <v>392</v>
      </c>
      <c r="AB320" s="2">
        <v>10</v>
      </c>
      <c r="AF320" s="46">
        <v>24323552</v>
      </c>
      <c r="AG320" s="1" t="s">
        <v>534</v>
      </c>
      <c r="AH320" s="27" t="s">
        <v>342</v>
      </c>
      <c r="AI320" s="6" t="s">
        <v>547</v>
      </c>
      <c r="AJ320" s="46" t="s">
        <v>549</v>
      </c>
    </row>
    <row r="321" spans="7:36" x14ac:dyDescent="0.3">
      <c r="G321" s="46">
        <v>150912</v>
      </c>
      <c r="H321" s="39" t="s">
        <v>86</v>
      </c>
      <c r="N321" s="30" t="s">
        <v>396</v>
      </c>
      <c r="O321" s="2">
        <v>100</v>
      </c>
      <c r="Q321" s="30">
        <v>1</v>
      </c>
      <c r="R321" s="44">
        <v>7.51</v>
      </c>
      <c r="T321" s="44">
        <v>7.51</v>
      </c>
      <c r="X321" s="5">
        <v>30.49</v>
      </c>
      <c r="Z321" s="54" t="s">
        <v>408</v>
      </c>
      <c r="AA321" s="30" t="s">
        <v>396</v>
      </c>
      <c r="AB321" s="2">
        <v>100</v>
      </c>
      <c r="AF321" s="46">
        <v>150912</v>
      </c>
      <c r="AG321" s="1" t="s">
        <v>538</v>
      </c>
      <c r="AH321" s="27" t="s">
        <v>86</v>
      </c>
      <c r="AI321" s="6" t="s">
        <v>547</v>
      </c>
      <c r="AJ321" s="46" t="s">
        <v>550</v>
      </c>
    </row>
    <row r="322" spans="7:36" x14ac:dyDescent="0.3">
      <c r="G322" s="46">
        <v>1138119</v>
      </c>
      <c r="H322" s="39" t="s">
        <v>303</v>
      </c>
      <c r="N322" s="30" t="s">
        <v>395</v>
      </c>
      <c r="O322" s="2">
        <v>1</v>
      </c>
      <c r="Q322" s="30">
        <v>3</v>
      </c>
      <c r="R322" s="44">
        <v>2.4900000000000002</v>
      </c>
      <c r="T322" s="44">
        <v>7.4700000000000006</v>
      </c>
      <c r="X322" s="5">
        <v>11.370000000000001</v>
      </c>
      <c r="Z322" s="54" t="s">
        <v>502</v>
      </c>
      <c r="AA322" s="30" t="s">
        <v>395</v>
      </c>
      <c r="AB322" s="2">
        <v>1</v>
      </c>
      <c r="AF322" s="46">
        <v>1138119</v>
      </c>
      <c r="AG322" s="1" t="s">
        <v>534</v>
      </c>
      <c r="AH322" s="27" t="s">
        <v>303</v>
      </c>
      <c r="AI322" s="6" t="s">
        <v>547</v>
      </c>
      <c r="AJ322" s="46" t="s">
        <v>550</v>
      </c>
    </row>
    <row r="323" spans="7:36" x14ac:dyDescent="0.3">
      <c r="G323" s="46">
        <v>1948770</v>
      </c>
      <c r="H323" s="39" t="s">
        <v>317</v>
      </c>
      <c r="N323" s="30" t="s">
        <v>395</v>
      </c>
      <c r="O323" s="2">
        <v>1</v>
      </c>
      <c r="Q323" s="30">
        <v>1</v>
      </c>
      <c r="R323" s="44">
        <v>7.29</v>
      </c>
      <c r="T323" s="44">
        <v>7.29</v>
      </c>
      <c r="X323" s="5">
        <v>7.29</v>
      </c>
      <c r="Z323" s="54" t="s">
        <v>436</v>
      </c>
      <c r="AA323" s="30" t="s">
        <v>395</v>
      </c>
      <c r="AB323" s="2">
        <v>1</v>
      </c>
      <c r="AF323" s="46">
        <v>1948770</v>
      </c>
      <c r="AG323" s="1" t="s">
        <v>539</v>
      </c>
      <c r="AH323" s="27" t="s">
        <v>317</v>
      </c>
      <c r="AI323" s="6" t="s">
        <v>547</v>
      </c>
      <c r="AJ323" s="46" t="s">
        <v>550</v>
      </c>
    </row>
    <row r="324" spans="7:36" x14ac:dyDescent="0.3">
      <c r="G324" s="46">
        <v>831602</v>
      </c>
      <c r="H324" s="39" t="s">
        <v>273</v>
      </c>
      <c r="N324" s="30" t="s">
        <v>392</v>
      </c>
      <c r="O324" s="2">
        <v>24</v>
      </c>
      <c r="Q324" s="30">
        <v>2</v>
      </c>
      <c r="R324" s="44">
        <v>3.49</v>
      </c>
      <c r="T324" s="44">
        <v>6.98</v>
      </c>
      <c r="X324" s="5">
        <v>1.8</v>
      </c>
      <c r="Z324" s="54">
        <v>0.9</v>
      </c>
      <c r="AA324" s="30" t="s">
        <v>392</v>
      </c>
      <c r="AB324" s="2">
        <v>24</v>
      </c>
      <c r="AF324" s="46">
        <v>831602</v>
      </c>
      <c r="AG324" s="1" t="s">
        <v>534</v>
      </c>
      <c r="AH324" s="27" t="s">
        <v>273</v>
      </c>
      <c r="AI324" s="6" t="s">
        <v>547</v>
      </c>
      <c r="AJ324" s="46" t="s">
        <v>549</v>
      </c>
    </row>
    <row r="325" spans="7:36" x14ac:dyDescent="0.3">
      <c r="G325" s="46">
        <v>382242</v>
      </c>
      <c r="H325" s="39" t="s">
        <v>131</v>
      </c>
      <c r="N325" s="30" t="s">
        <v>394</v>
      </c>
      <c r="O325" s="2">
        <v>12</v>
      </c>
      <c r="Q325" s="30">
        <v>3</v>
      </c>
      <c r="R325" s="44">
        <v>2.29</v>
      </c>
      <c r="T325" s="44">
        <v>6.87</v>
      </c>
      <c r="X325" s="5">
        <v>6.87</v>
      </c>
      <c r="Z325" s="54" t="s">
        <v>441</v>
      </c>
      <c r="AA325" s="30" t="s">
        <v>394</v>
      </c>
      <c r="AB325" s="2">
        <v>12</v>
      </c>
      <c r="AF325" s="46">
        <v>382242</v>
      </c>
      <c r="AG325" s="1" t="s">
        <v>534</v>
      </c>
      <c r="AH325" s="27" t="s">
        <v>131</v>
      </c>
      <c r="AI325" s="6" t="s">
        <v>547</v>
      </c>
      <c r="AJ325" s="46" t="s">
        <v>550</v>
      </c>
    </row>
    <row r="326" spans="7:36" x14ac:dyDescent="0.3">
      <c r="G326" s="46">
        <v>540500</v>
      </c>
      <c r="H326" s="39" t="s">
        <v>204</v>
      </c>
      <c r="N326" s="30" t="s">
        <v>395</v>
      </c>
      <c r="O326" s="2">
        <v>1</v>
      </c>
      <c r="Q326" s="30">
        <v>1</v>
      </c>
      <c r="R326" s="44">
        <v>6.79</v>
      </c>
      <c r="T326" s="44">
        <v>6.79</v>
      </c>
      <c r="X326" s="5">
        <v>6.79</v>
      </c>
      <c r="Z326" s="54" t="s">
        <v>469</v>
      </c>
      <c r="AA326" s="30" t="s">
        <v>395</v>
      </c>
      <c r="AB326" s="2">
        <v>1</v>
      </c>
      <c r="AF326" s="46">
        <v>540500</v>
      </c>
      <c r="AG326" s="1" t="s">
        <v>535</v>
      </c>
      <c r="AH326" s="27" t="s">
        <v>204</v>
      </c>
      <c r="AI326" s="6" t="s">
        <v>547</v>
      </c>
      <c r="AJ326" s="46" t="s">
        <v>550</v>
      </c>
    </row>
    <row r="327" spans="7:36" x14ac:dyDescent="0.3">
      <c r="G327" s="46">
        <v>504308</v>
      </c>
      <c r="H327" s="39" t="s">
        <v>190</v>
      </c>
      <c r="N327" s="30" t="s">
        <v>395</v>
      </c>
      <c r="O327" s="2">
        <v>1</v>
      </c>
      <c r="Q327" s="30">
        <v>1</v>
      </c>
      <c r="R327" s="44">
        <v>6.79</v>
      </c>
      <c r="T327" s="44">
        <v>6.79</v>
      </c>
      <c r="X327" s="5">
        <v>4.99</v>
      </c>
      <c r="Z327" s="54">
        <v>4.99</v>
      </c>
      <c r="AA327" s="30" t="s">
        <v>395</v>
      </c>
      <c r="AB327" s="2">
        <v>1</v>
      </c>
      <c r="AF327" s="46">
        <v>504308</v>
      </c>
      <c r="AG327" s="1" t="s">
        <v>534</v>
      </c>
      <c r="AH327" s="27" t="s">
        <v>190</v>
      </c>
      <c r="AI327" s="6" t="s">
        <v>547</v>
      </c>
      <c r="AJ327" s="46" t="s">
        <v>549</v>
      </c>
    </row>
    <row r="328" spans="7:36" x14ac:dyDescent="0.3">
      <c r="G328" s="46">
        <v>814953</v>
      </c>
      <c r="H328" s="39" t="s">
        <v>263</v>
      </c>
      <c r="N328" s="30" t="s">
        <v>400</v>
      </c>
      <c r="O328" s="2">
        <v>12</v>
      </c>
      <c r="Q328" s="30">
        <v>1</v>
      </c>
      <c r="R328" s="44">
        <v>6.69</v>
      </c>
      <c r="T328" s="44">
        <v>6.69</v>
      </c>
      <c r="X328" s="5">
        <v>3.78</v>
      </c>
      <c r="Z328" s="54">
        <v>3.78</v>
      </c>
      <c r="AA328" s="30" t="s">
        <v>400</v>
      </c>
      <c r="AB328" s="2">
        <v>12</v>
      </c>
      <c r="AF328" s="46">
        <v>814953</v>
      </c>
      <c r="AG328" s="1" t="s">
        <v>534</v>
      </c>
      <c r="AH328" s="27" t="s">
        <v>263</v>
      </c>
      <c r="AI328" s="6" t="s">
        <v>547</v>
      </c>
      <c r="AJ328" s="46" t="s">
        <v>549</v>
      </c>
    </row>
    <row r="329" spans="7:36" x14ac:dyDescent="0.3">
      <c r="G329" s="46">
        <v>755958</v>
      </c>
      <c r="H329" s="39" t="s">
        <v>251</v>
      </c>
      <c r="N329" s="30" t="s">
        <v>392</v>
      </c>
      <c r="O329" s="2">
        <v>5</v>
      </c>
      <c r="Q329" s="30">
        <v>1</v>
      </c>
      <c r="R329" s="44">
        <v>6.39</v>
      </c>
      <c r="T329" s="44">
        <v>6.39</v>
      </c>
      <c r="X329" s="5">
        <v>7.29</v>
      </c>
      <c r="Z329" s="54" t="s">
        <v>436</v>
      </c>
      <c r="AA329" s="30" t="s">
        <v>392</v>
      </c>
      <c r="AB329" s="2">
        <v>5</v>
      </c>
      <c r="AF329" s="46">
        <v>755958</v>
      </c>
      <c r="AG329" s="1" t="s">
        <v>534</v>
      </c>
      <c r="AH329" s="27" t="s">
        <v>251</v>
      </c>
      <c r="AI329" s="6" t="s">
        <v>547</v>
      </c>
      <c r="AJ329" s="46" t="s">
        <v>550</v>
      </c>
    </row>
    <row r="330" spans="7:36" x14ac:dyDescent="0.3">
      <c r="G330" s="46">
        <v>913154</v>
      </c>
      <c r="H330" s="39" t="s">
        <v>286</v>
      </c>
      <c r="N330" s="30" t="s">
        <v>392</v>
      </c>
      <c r="O330" s="2">
        <v>2</v>
      </c>
      <c r="Q330" s="30">
        <v>1</v>
      </c>
      <c r="R330" s="44">
        <v>6.29</v>
      </c>
      <c r="T330" s="44">
        <v>6.29</v>
      </c>
      <c r="X330" s="5">
        <v>3.74</v>
      </c>
      <c r="Z330" s="54">
        <v>3.74</v>
      </c>
      <c r="AA330" s="30" t="s">
        <v>392</v>
      </c>
      <c r="AB330" s="2">
        <v>2</v>
      </c>
      <c r="AF330" s="46">
        <v>913154</v>
      </c>
      <c r="AG330" s="1" t="s">
        <v>534</v>
      </c>
      <c r="AH330" s="27" t="s">
        <v>286</v>
      </c>
      <c r="AI330" s="6" t="s">
        <v>547</v>
      </c>
      <c r="AJ330" s="46" t="s">
        <v>549</v>
      </c>
    </row>
    <row r="331" spans="7:36" x14ac:dyDescent="0.3">
      <c r="G331" s="46">
        <v>648695</v>
      </c>
      <c r="H331" s="39" t="s">
        <v>236</v>
      </c>
      <c r="N331" s="30" t="s">
        <v>392</v>
      </c>
      <c r="O331" s="2">
        <v>10000</v>
      </c>
      <c r="Q331" s="30">
        <v>1</v>
      </c>
      <c r="R331" s="44">
        <v>6.09</v>
      </c>
      <c r="T331" s="44">
        <v>6.09</v>
      </c>
      <c r="X331" s="5">
        <v>7.29</v>
      </c>
      <c r="Z331" s="54" t="s">
        <v>436</v>
      </c>
      <c r="AA331" s="30" t="s">
        <v>392</v>
      </c>
      <c r="AB331" s="2">
        <v>10000</v>
      </c>
      <c r="AF331" s="46">
        <v>648695</v>
      </c>
      <c r="AG331" s="1" t="s">
        <v>534</v>
      </c>
      <c r="AH331" s="27" t="s">
        <v>236</v>
      </c>
      <c r="AI331" s="6" t="s">
        <v>547</v>
      </c>
      <c r="AJ331" s="46" t="s">
        <v>550</v>
      </c>
    </row>
    <row r="332" spans="7:36" x14ac:dyDescent="0.3">
      <c r="G332" s="46">
        <v>651256</v>
      </c>
      <c r="H332" s="39" t="s">
        <v>240</v>
      </c>
      <c r="N332" s="30" t="s">
        <v>394</v>
      </c>
      <c r="O332" s="2">
        <v>12</v>
      </c>
      <c r="Q332" s="30">
        <v>1</v>
      </c>
      <c r="R332" s="44">
        <v>5.99</v>
      </c>
      <c r="T332" s="44">
        <v>5.99</v>
      </c>
      <c r="X332" s="5">
        <v>5.99</v>
      </c>
      <c r="Z332" s="54" t="s">
        <v>481</v>
      </c>
      <c r="AA332" s="30" t="s">
        <v>394</v>
      </c>
      <c r="AB332" s="2">
        <v>12</v>
      </c>
      <c r="AF332" s="46">
        <v>651256</v>
      </c>
      <c r="AG332" s="1" t="s">
        <v>534</v>
      </c>
      <c r="AH332" s="27" t="s">
        <v>240</v>
      </c>
      <c r="AI332" s="6" t="s">
        <v>547</v>
      </c>
      <c r="AJ332" s="46" t="s">
        <v>550</v>
      </c>
    </row>
    <row r="333" spans="7:36" x14ac:dyDescent="0.3">
      <c r="G333" s="46">
        <v>374812</v>
      </c>
      <c r="H333" s="39" t="s">
        <v>129</v>
      </c>
      <c r="N333" s="30" t="s">
        <v>395</v>
      </c>
      <c r="O333" s="2">
        <v>1</v>
      </c>
      <c r="Q333" s="30">
        <v>1</v>
      </c>
      <c r="R333" s="44">
        <v>5.79</v>
      </c>
      <c r="T333" s="44">
        <v>5.79</v>
      </c>
      <c r="X333" s="5">
        <v>2.37</v>
      </c>
      <c r="Z333" s="54">
        <v>2.37</v>
      </c>
      <c r="AA333" s="30" t="s">
        <v>395</v>
      </c>
      <c r="AB333" s="2">
        <v>1</v>
      </c>
      <c r="AF333" s="46">
        <v>374812</v>
      </c>
      <c r="AG333" s="1" t="s">
        <v>534</v>
      </c>
      <c r="AH333" s="27" t="s">
        <v>129</v>
      </c>
      <c r="AI333" s="6" t="s">
        <v>547</v>
      </c>
      <c r="AJ333" s="46" t="s">
        <v>549</v>
      </c>
    </row>
    <row r="334" spans="7:36" x14ac:dyDescent="0.3">
      <c r="G334" s="46">
        <v>753170</v>
      </c>
      <c r="H334" s="39" t="s">
        <v>249</v>
      </c>
      <c r="N334" s="30" t="s">
        <v>395</v>
      </c>
      <c r="O334" s="2">
        <v>1</v>
      </c>
      <c r="Q334" s="30">
        <v>1</v>
      </c>
      <c r="R334" s="44">
        <v>5.59</v>
      </c>
      <c r="T334" s="44">
        <v>5.59</v>
      </c>
      <c r="X334" s="5">
        <v>7.99</v>
      </c>
      <c r="Z334" s="54" t="s">
        <v>445</v>
      </c>
      <c r="AA334" s="30" t="s">
        <v>395</v>
      </c>
      <c r="AB334" s="2">
        <v>1</v>
      </c>
      <c r="AF334" s="46">
        <v>753170</v>
      </c>
      <c r="AG334" s="1" t="s">
        <v>539</v>
      </c>
      <c r="AH334" s="27" t="s">
        <v>249</v>
      </c>
      <c r="AI334" s="6" t="s">
        <v>547</v>
      </c>
      <c r="AJ334" s="46" t="s">
        <v>550</v>
      </c>
    </row>
    <row r="335" spans="7:36" x14ac:dyDescent="0.3">
      <c r="G335" s="46">
        <v>720364</v>
      </c>
      <c r="H335" s="39" t="s">
        <v>246</v>
      </c>
      <c r="N335" s="30" t="s">
        <v>398</v>
      </c>
      <c r="O335" s="2">
        <v>500</v>
      </c>
      <c r="Q335" s="30">
        <v>1</v>
      </c>
      <c r="R335" s="44">
        <v>5.5</v>
      </c>
      <c r="T335" s="44">
        <v>5.5</v>
      </c>
      <c r="X335" s="5">
        <v>11.29</v>
      </c>
      <c r="Z335" s="54" t="s">
        <v>483</v>
      </c>
      <c r="AA335" s="30" t="s">
        <v>398</v>
      </c>
      <c r="AB335" s="2">
        <v>500</v>
      </c>
      <c r="AF335" s="46">
        <v>720364</v>
      </c>
      <c r="AG335" s="1" t="s">
        <v>534</v>
      </c>
      <c r="AH335" s="27" t="s">
        <v>246</v>
      </c>
      <c r="AI335" s="6" t="s">
        <v>547</v>
      </c>
      <c r="AJ335" s="46" t="s">
        <v>550</v>
      </c>
    </row>
    <row r="336" spans="7:36" x14ac:dyDescent="0.3">
      <c r="G336" s="46">
        <v>24376654</v>
      </c>
      <c r="H336" s="39" t="s">
        <v>350</v>
      </c>
      <c r="N336" s="30" t="s">
        <v>400</v>
      </c>
      <c r="O336" s="2">
        <v>12</v>
      </c>
      <c r="Q336" s="30">
        <v>2</v>
      </c>
      <c r="R336" s="44">
        <v>2.7</v>
      </c>
      <c r="T336" s="44">
        <v>5.4</v>
      </c>
      <c r="X336" s="5">
        <v>6.24</v>
      </c>
      <c r="Z336" s="54">
        <v>3.12</v>
      </c>
      <c r="AA336" s="30" t="s">
        <v>400</v>
      </c>
      <c r="AB336" s="2">
        <v>12</v>
      </c>
      <c r="AF336" s="46">
        <v>24376654</v>
      </c>
      <c r="AG336" s="1" t="s">
        <v>534</v>
      </c>
      <c r="AH336" s="27" t="s">
        <v>350</v>
      </c>
      <c r="AI336" s="6" t="s">
        <v>547</v>
      </c>
      <c r="AJ336" s="46" t="s">
        <v>549</v>
      </c>
    </row>
    <row r="337" spans="7:36" x14ac:dyDescent="0.3">
      <c r="G337" s="46">
        <v>673761</v>
      </c>
      <c r="H337" s="39" t="s">
        <v>242</v>
      </c>
      <c r="N337" s="30" t="s">
        <v>395</v>
      </c>
      <c r="O337" s="2">
        <v>1</v>
      </c>
      <c r="Q337" s="30">
        <v>1</v>
      </c>
      <c r="R337" s="44">
        <v>5.29</v>
      </c>
      <c r="T337" s="44">
        <v>5.29</v>
      </c>
      <c r="X337" s="5">
        <v>5.29</v>
      </c>
      <c r="Z337" s="54" t="s">
        <v>482</v>
      </c>
      <c r="AA337" s="30" t="s">
        <v>395</v>
      </c>
      <c r="AB337" s="2">
        <v>1</v>
      </c>
      <c r="AF337" s="46">
        <v>673761</v>
      </c>
      <c r="AG337" s="1" t="s">
        <v>535</v>
      </c>
      <c r="AH337" s="27" t="s">
        <v>242</v>
      </c>
      <c r="AI337" s="6" t="s">
        <v>547</v>
      </c>
      <c r="AJ337" s="46" t="s">
        <v>550</v>
      </c>
    </row>
    <row r="338" spans="7:36" x14ac:dyDescent="0.3">
      <c r="G338" s="46">
        <v>24242914</v>
      </c>
      <c r="H338" s="39" t="s">
        <v>341</v>
      </c>
      <c r="N338" s="30" t="s">
        <v>395</v>
      </c>
      <c r="O338" s="2">
        <v>1</v>
      </c>
      <c r="Q338" s="30">
        <v>1</v>
      </c>
      <c r="R338" s="44">
        <v>5.29</v>
      </c>
      <c r="T338" s="44">
        <v>5.29</v>
      </c>
      <c r="X338" s="5">
        <v>5.29</v>
      </c>
      <c r="Z338" s="54" t="s">
        <v>482</v>
      </c>
      <c r="AA338" s="30" t="s">
        <v>395</v>
      </c>
      <c r="AB338" s="2">
        <v>1</v>
      </c>
      <c r="AF338" s="46">
        <v>24242914</v>
      </c>
      <c r="AG338" s="1" t="s">
        <v>535</v>
      </c>
      <c r="AH338" s="27" t="s">
        <v>341</v>
      </c>
      <c r="AI338" s="6" t="s">
        <v>547</v>
      </c>
      <c r="AJ338" s="46" t="s">
        <v>550</v>
      </c>
    </row>
    <row r="339" spans="7:36" x14ac:dyDescent="0.3">
      <c r="G339" s="46">
        <v>24401541</v>
      </c>
      <c r="H339" s="39" t="s">
        <v>364</v>
      </c>
      <c r="N339" s="30" t="s">
        <v>395</v>
      </c>
      <c r="O339" s="2">
        <v>1</v>
      </c>
      <c r="Q339" s="30">
        <v>1</v>
      </c>
      <c r="R339" s="44">
        <v>5.2</v>
      </c>
      <c r="T339" s="44">
        <v>5.2</v>
      </c>
      <c r="X339" s="5">
        <v>6.29</v>
      </c>
      <c r="Z339" s="54" t="s">
        <v>480</v>
      </c>
      <c r="AA339" s="30" t="s">
        <v>395</v>
      </c>
      <c r="AB339" s="2">
        <v>1</v>
      </c>
      <c r="AF339" s="46">
        <v>24401541</v>
      </c>
      <c r="AG339" s="1" t="s">
        <v>542</v>
      </c>
      <c r="AH339" s="27" t="s">
        <v>364</v>
      </c>
      <c r="AI339" s="6" t="s">
        <v>547</v>
      </c>
      <c r="AJ339" s="46" t="s">
        <v>550</v>
      </c>
    </row>
    <row r="340" spans="7:36" x14ac:dyDescent="0.3">
      <c r="G340" s="46">
        <v>860851</v>
      </c>
      <c r="H340" s="39" t="s">
        <v>276</v>
      </c>
      <c r="N340" s="30" t="s">
        <v>392</v>
      </c>
      <c r="O340" s="2">
        <v>500</v>
      </c>
      <c r="Q340" s="30">
        <v>2</v>
      </c>
      <c r="R340" s="44">
        <v>2.46</v>
      </c>
      <c r="T340" s="44">
        <v>4.92</v>
      </c>
      <c r="X340" s="5">
        <v>12.98</v>
      </c>
      <c r="Z340" s="54" t="s">
        <v>493</v>
      </c>
      <c r="AA340" s="30" t="s">
        <v>392</v>
      </c>
      <c r="AB340" s="2">
        <v>500</v>
      </c>
      <c r="AF340" s="46">
        <v>860851</v>
      </c>
      <c r="AG340" s="1" t="s">
        <v>534</v>
      </c>
      <c r="AH340" s="27" t="s">
        <v>276</v>
      </c>
      <c r="AI340" s="6" t="s">
        <v>547</v>
      </c>
      <c r="AJ340" s="46" t="s">
        <v>550</v>
      </c>
    </row>
    <row r="341" spans="7:36" x14ac:dyDescent="0.3">
      <c r="G341" s="46">
        <v>112680</v>
      </c>
      <c r="H341" s="39" t="s">
        <v>66</v>
      </c>
      <c r="N341" s="30" t="s">
        <v>392</v>
      </c>
      <c r="O341" s="2">
        <v>205</v>
      </c>
      <c r="Q341" s="30">
        <v>4</v>
      </c>
      <c r="R341" s="44">
        <v>1.18</v>
      </c>
      <c r="T341" s="44">
        <v>4.72</v>
      </c>
      <c r="X341" s="5">
        <v>23.16</v>
      </c>
      <c r="Z341" s="54" t="s">
        <v>418</v>
      </c>
      <c r="AA341" s="30" t="s">
        <v>392</v>
      </c>
      <c r="AB341" s="2">
        <v>205</v>
      </c>
      <c r="AF341" s="46">
        <v>112680</v>
      </c>
      <c r="AG341" s="1" t="s">
        <v>534</v>
      </c>
      <c r="AH341" s="27" t="s">
        <v>66</v>
      </c>
      <c r="AI341" s="6" t="s">
        <v>547</v>
      </c>
      <c r="AJ341" s="46" t="s">
        <v>550</v>
      </c>
    </row>
    <row r="342" spans="7:36" x14ac:dyDescent="0.3">
      <c r="G342" s="46">
        <v>489401</v>
      </c>
      <c r="H342" s="39" t="s">
        <v>171</v>
      </c>
      <c r="N342" s="30" t="s">
        <v>392</v>
      </c>
      <c r="O342" s="2">
        <v>3</v>
      </c>
      <c r="Q342" s="30">
        <v>1</v>
      </c>
      <c r="R342" s="44">
        <v>4.6900000000000004</v>
      </c>
      <c r="T342" s="44">
        <v>4.6900000000000004</v>
      </c>
      <c r="X342" s="5">
        <v>4.6900000000000004</v>
      </c>
      <c r="Z342" s="54" t="s">
        <v>459</v>
      </c>
      <c r="AA342" s="30" t="s">
        <v>392</v>
      </c>
      <c r="AB342" s="2">
        <v>3</v>
      </c>
      <c r="AF342" s="46">
        <v>489401</v>
      </c>
      <c r="AG342" s="1" t="s">
        <v>534</v>
      </c>
      <c r="AH342" s="27" t="s">
        <v>171</v>
      </c>
      <c r="AI342" s="6" t="s">
        <v>547</v>
      </c>
      <c r="AJ342" s="46" t="s">
        <v>550</v>
      </c>
    </row>
    <row r="343" spans="7:36" x14ac:dyDescent="0.3">
      <c r="G343" s="46">
        <v>374815</v>
      </c>
      <c r="H343" s="39" t="s">
        <v>130</v>
      </c>
      <c r="N343" s="30" t="s">
        <v>395</v>
      </c>
      <c r="O343" s="2">
        <v>1</v>
      </c>
      <c r="Q343" s="30">
        <v>2</v>
      </c>
      <c r="R343" s="44">
        <v>2.0699999999999998</v>
      </c>
      <c r="T343" s="44">
        <v>4.1399999999999997</v>
      </c>
      <c r="X343" s="5">
        <v>2.9</v>
      </c>
      <c r="Z343" s="54">
        <v>1.45</v>
      </c>
      <c r="AA343" s="30" t="s">
        <v>395</v>
      </c>
      <c r="AB343" s="2">
        <v>1</v>
      </c>
      <c r="AF343" s="46">
        <v>374815</v>
      </c>
      <c r="AG343" s="1" t="s">
        <v>534</v>
      </c>
      <c r="AH343" s="27" t="s">
        <v>130</v>
      </c>
      <c r="AI343" s="6" t="s">
        <v>547</v>
      </c>
      <c r="AJ343" s="46" t="s">
        <v>549</v>
      </c>
    </row>
    <row r="344" spans="7:36" x14ac:dyDescent="0.3">
      <c r="G344" s="46">
        <v>143156</v>
      </c>
      <c r="H344" s="39" t="s">
        <v>84</v>
      </c>
      <c r="N344" s="30" t="s">
        <v>394</v>
      </c>
      <c r="O344" s="2">
        <v>12</v>
      </c>
      <c r="Q344" s="30">
        <v>1</v>
      </c>
      <c r="R344" s="44">
        <v>3.49</v>
      </c>
      <c r="T344" s="44">
        <v>3.49</v>
      </c>
      <c r="X344" s="5">
        <v>3.49</v>
      </c>
      <c r="Z344" s="54" t="s">
        <v>427</v>
      </c>
      <c r="AA344" s="30" t="s">
        <v>394</v>
      </c>
      <c r="AB344" s="2">
        <v>12</v>
      </c>
      <c r="AF344" s="46">
        <v>143156</v>
      </c>
      <c r="AG344" s="1" t="s">
        <v>534</v>
      </c>
      <c r="AH344" s="27" t="s">
        <v>84</v>
      </c>
      <c r="AI344" s="6" t="s">
        <v>547</v>
      </c>
      <c r="AJ344" s="46" t="s">
        <v>550</v>
      </c>
    </row>
    <row r="345" spans="7:36" x14ac:dyDescent="0.3">
      <c r="G345" s="46">
        <v>123372</v>
      </c>
      <c r="H345" s="39" t="s">
        <v>72</v>
      </c>
      <c r="N345" s="30" t="s">
        <v>394</v>
      </c>
      <c r="O345" s="2">
        <v>12</v>
      </c>
      <c r="Q345" s="30">
        <v>3</v>
      </c>
      <c r="R345" s="44">
        <v>1.1599999999999999</v>
      </c>
      <c r="T345" s="44">
        <v>3.4799999999999995</v>
      </c>
      <c r="X345" s="5">
        <v>2.4300000000000002</v>
      </c>
      <c r="Z345" s="54" t="s">
        <v>417</v>
      </c>
      <c r="AA345" s="30" t="s">
        <v>394</v>
      </c>
      <c r="AB345" s="2">
        <v>12</v>
      </c>
      <c r="AF345" s="46">
        <v>123372</v>
      </c>
      <c r="AG345" s="1" t="s">
        <v>534</v>
      </c>
      <c r="AH345" s="27" t="s">
        <v>72</v>
      </c>
      <c r="AI345" s="6" t="s">
        <v>547</v>
      </c>
      <c r="AJ345" s="46" t="s">
        <v>549</v>
      </c>
    </row>
    <row r="346" spans="7:36" x14ac:dyDescent="0.3">
      <c r="G346" s="46">
        <v>831610</v>
      </c>
      <c r="H346" s="39" t="s">
        <v>274</v>
      </c>
      <c r="N346" s="30" t="s">
        <v>392</v>
      </c>
      <c r="O346" s="2">
        <v>12</v>
      </c>
      <c r="Q346" s="30">
        <v>1</v>
      </c>
      <c r="R346" s="44">
        <v>2.83</v>
      </c>
      <c r="T346" s="44">
        <v>2.83</v>
      </c>
      <c r="X346" s="5">
        <v>1.45</v>
      </c>
      <c r="Z346" s="54">
        <v>1.45</v>
      </c>
      <c r="AA346" s="30" t="s">
        <v>392</v>
      </c>
      <c r="AB346" s="2">
        <v>12</v>
      </c>
      <c r="AF346" s="46">
        <v>831610</v>
      </c>
      <c r="AG346" s="1" t="s">
        <v>534</v>
      </c>
      <c r="AH346" s="27" t="s">
        <v>274</v>
      </c>
      <c r="AI346" s="6" t="s">
        <v>547</v>
      </c>
      <c r="AJ346" s="46" t="s">
        <v>549</v>
      </c>
    </row>
    <row r="347" spans="7:36" x14ac:dyDescent="0.3">
      <c r="G347" s="46">
        <v>127878</v>
      </c>
      <c r="H347" s="39" t="s">
        <v>80</v>
      </c>
      <c r="N347" s="30" t="s">
        <v>394</v>
      </c>
      <c r="O347" s="2">
        <v>12</v>
      </c>
      <c r="Q347" s="30">
        <v>2</v>
      </c>
      <c r="R347" s="44">
        <v>1.38</v>
      </c>
      <c r="T347" s="44">
        <v>2.76</v>
      </c>
      <c r="X347" s="5">
        <v>5.98</v>
      </c>
      <c r="Z347" s="54" t="s">
        <v>425</v>
      </c>
      <c r="AA347" s="30" t="s">
        <v>394</v>
      </c>
      <c r="AB347" s="2">
        <v>12</v>
      </c>
      <c r="AF347" s="46">
        <v>127878</v>
      </c>
      <c r="AG347" s="1" t="s">
        <v>534</v>
      </c>
      <c r="AH347" s="27" t="s">
        <v>80</v>
      </c>
      <c r="AI347" s="6" t="s">
        <v>547</v>
      </c>
      <c r="AJ347" s="46" t="s">
        <v>550</v>
      </c>
    </row>
    <row r="348" spans="7:36" x14ac:dyDescent="0.3">
      <c r="G348" s="46">
        <v>123315</v>
      </c>
      <c r="H348" s="39" t="s">
        <v>71</v>
      </c>
      <c r="N348" s="30" t="s">
        <v>394</v>
      </c>
      <c r="O348" s="2">
        <v>12</v>
      </c>
      <c r="Q348" s="30">
        <v>1</v>
      </c>
      <c r="R348" s="44">
        <v>1.17</v>
      </c>
      <c r="T348" s="44">
        <v>1.17</v>
      </c>
      <c r="X348" s="5">
        <v>1.99</v>
      </c>
      <c r="Z348" s="54" t="s">
        <v>421</v>
      </c>
      <c r="AA348" s="30" t="s">
        <v>394</v>
      </c>
      <c r="AB348" s="2">
        <v>12</v>
      </c>
      <c r="AF348" s="46">
        <v>123315</v>
      </c>
      <c r="AG348" s="1" t="s">
        <v>534</v>
      </c>
      <c r="AH348" s="27" t="s">
        <v>71</v>
      </c>
      <c r="AI348" s="6" t="s">
        <v>547</v>
      </c>
      <c r="AJ348" s="46" t="s">
        <v>550</v>
      </c>
    </row>
    <row r="349" spans="7:36" x14ac:dyDescent="0.3">
      <c r="G349" s="46"/>
      <c r="H349" s="39"/>
      <c r="N349" s="30"/>
      <c r="Q349" s="30"/>
      <c r="T349" s="35"/>
      <c r="Z349" s="54"/>
      <c r="AA349" s="30"/>
      <c r="AB349" s="30"/>
      <c r="AF349" s="51"/>
      <c r="AG349" s="27"/>
      <c r="AH349" s="27"/>
      <c r="AI349" s="6"/>
      <c r="AJ349" s="47"/>
    </row>
    <row r="350" spans="7:36" x14ac:dyDescent="0.3">
      <c r="G350" s="46"/>
      <c r="H350" s="39"/>
      <c r="N350" s="30"/>
      <c r="Q350" s="30"/>
      <c r="T350" s="35"/>
      <c r="Z350" s="54"/>
      <c r="AA350" s="30"/>
      <c r="AB350" s="30"/>
      <c r="AF350" s="48"/>
      <c r="AG350" s="27"/>
      <c r="AH350" s="27"/>
      <c r="AI350" s="6"/>
      <c r="AJ350" s="30"/>
    </row>
    <row r="351" spans="7:36" x14ac:dyDescent="0.3">
      <c r="G351" s="46"/>
      <c r="H351" s="39"/>
      <c r="N351" s="30"/>
      <c r="Q351" s="30"/>
      <c r="T351" s="35"/>
      <c r="Z351" s="54"/>
      <c r="AA351" s="30"/>
      <c r="AB351" s="30"/>
      <c r="AF351" s="48"/>
      <c r="AG351" s="27"/>
      <c r="AH351" s="27"/>
      <c r="AI351" s="6"/>
      <c r="AJ351" s="30"/>
    </row>
    <row r="352" spans="7:36" x14ac:dyDescent="0.3">
      <c r="G352" s="46"/>
      <c r="H352" s="39"/>
      <c r="N352" s="30"/>
      <c r="Q352" s="30"/>
      <c r="T352" s="35"/>
      <c r="Z352" s="54"/>
      <c r="AA352" s="30"/>
      <c r="AB352" s="30"/>
      <c r="AF352" s="48"/>
      <c r="AG352" s="27"/>
      <c r="AH352" s="27"/>
      <c r="AI352" s="6"/>
      <c r="AJ352" s="30"/>
    </row>
    <row r="353" spans="7:36" x14ac:dyDescent="0.3">
      <c r="G353" s="46"/>
      <c r="H353" s="39"/>
      <c r="N353" s="30"/>
      <c r="Q353" s="30"/>
      <c r="T353" s="35"/>
      <c r="Z353" s="54"/>
      <c r="AA353" s="30"/>
      <c r="AB353" s="30"/>
      <c r="AF353" s="48"/>
      <c r="AG353" s="27"/>
      <c r="AH353" s="27"/>
      <c r="AI353" s="6"/>
      <c r="AJ353" s="30"/>
    </row>
    <row r="354" spans="7:36" x14ac:dyDescent="0.3">
      <c r="G354" s="46"/>
      <c r="H354" s="39"/>
      <c r="N354" s="30"/>
      <c r="Q354" s="30"/>
      <c r="T354" s="35"/>
      <c r="Z354" s="54"/>
      <c r="AA354" s="30"/>
      <c r="AB354" s="30"/>
      <c r="AF354" s="48"/>
      <c r="AG354" s="27"/>
      <c r="AH354" s="27"/>
      <c r="AI354" s="6"/>
      <c r="AJ354" s="30"/>
    </row>
    <row r="355" spans="7:36" x14ac:dyDescent="0.3">
      <c r="G355" s="46"/>
      <c r="H355" s="39"/>
      <c r="N355" s="30"/>
      <c r="Q355" s="30"/>
      <c r="T355" s="35"/>
      <c r="Z355" s="54"/>
      <c r="AA355" s="30"/>
      <c r="AB355" s="30"/>
      <c r="AF355" s="48"/>
      <c r="AG355" s="27"/>
      <c r="AH355" s="27"/>
      <c r="AI355" s="6"/>
      <c r="AJ355" s="30"/>
    </row>
    <row r="356" spans="7:36" x14ac:dyDescent="0.3">
      <c r="G356" s="46"/>
      <c r="H356" s="39"/>
      <c r="N356" s="30"/>
      <c r="Q356" s="30"/>
      <c r="T356" s="35"/>
      <c r="Z356" s="54"/>
      <c r="AA356" s="30"/>
      <c r="AB356" s="30"/>
      <c r="AF356" s="48"/>
      <c r="AG356" s="27"/>
      <c r="AH356" s="27"/>
      <c r="AI356" s="6"/>
      <c r="AJ356" s="30"/>
    </row>
    <row r="357" spans="7:36" x14ac:dyDescent="0.3">
      <c r="G357" s="46"/>
      <c r="H357" s="39"/>
      <c r="N357" s="30"/>
      <c r="Q357" s="30"/>
      <c r="T357" s="35"/>
      <c r="Z357" s="54"/>
      <c r="AA357" s="30"/>
      <c r="AB357" s="30"/>
      <c r="AF357" s="48"/>
      <c r="AG357" s="27"/>
      <c r="AH357" s="27"/>
      <c r="AI357" s="6"/>
      <c r="AJ357" s="30"/>
    </row>
    <row r="358" spans="7:36" x14ac:dyDescent="0.3">
      <c r="G358" s="46"/>
      <c r="H358" s="39"/>
      <c r="N358" s="30"/>
      <c r="Q358" s="30"/>
      <c r="T358" s="35"/>
      <c r="Z358" s="54"/>
      <c r="AA358" s="30"/>
      <c r="AB358" s="30"/>
      <c r="AF358" s="48"/>
      <c r="AG358" s="27"/>
      <c r="AH358" s="27"/>
      <c r="AI358" s="6"/>
      <c r="AJ358" s="30"/>
    </row>
    <row r="359" spans="7:36" x14ac:dyDescent="0.3">
      <c r="G359" s="46"/>
      <c r="H359" s="39"/>
      <c r="N359" s="30"/>
      <c r="Q359" s="30"/>
      <c r="T359" s="35"/>
      <c r="Z359" s="54"/>
      <c r="AA359" s="30"/>
      <c r="AB359" s="30"/>
      <c r="AF359" s="48"/>
      <c r="AG359" s="27"/>
      <c r="AH359" s="27"/>
      <c r="AI359" s="6"/>
      <c r="AJ359" s="30"/>
    </row>
    <row r="360" spans="7:36" x14ac:dyDescent="0.3">
      <c r="G360" s="46"/>
      <c r="H360" s="39"/>
      <c r="N360" s="30"/>
      <c r="Q360" s="30"/>
      <c r="T360" s="35"/>
      <c r="Z360" s="54"/>
      <c r="AA360" s="30"/>
      <c r="AB360" s="30"/>
      <c r="AF360" s="48"/>
      <c r="AG360" s="27"/>
      <c r="AH360" s="27"/>
      <c r="AI360" s="6"/>
      <c r="AJ360" s="30"/>
    </row>
    <row r="361" spans="7:36" x14ac:dyDescent="0.3">
      <c r="G361" s="46"/>
      <c r="H361" s="39"/>
      <c r="N361" s="30"/>
      <c r="Q361" s="30"/>
      <c r="T361" s="35"/>
      <c r="Z361" s="54"/>
      <c r="AA361" s="30"/>
      <c r="AB361" s="30"/>
      <c r="AF361" s="48"/>
      <c r="AG361" s="27"/>
      <c r="AH361" s="27"/>
      <c r="AI361" s="6"/>
      <c r="AJ361" s="30"/>
    </row>
    <row r="362" spans="7:36" x14ac:dyDescent="0.3">
      <c r="G362" s="46"/>
      <c r="H362" s="39"/>
      <c r="N362" s="30"/>
      <c r="Q362" s="30"/>
      <c r="T362" s="35"/>
      <c r="Z362" s="54"/>
      <c r="AA362" s="30"/>
      <c r="AB362" s="30"/>
      <c r="AF362" s="48"/>
      <c r="AG362" s="27"/>
      <c r="AH362" s="27"/>
      <c r="AI362" s="6"/>
      <c r="AJ362" s="30"/>
    </row>
    <row r="363" spans="7:36" x14ac:dyDescent="0.3">
      <c r="G363" s="46"/>
      <c r="H363" s="39"/>
      <c r="N363" s="30"/>
      <c r="Q363" s="30"/>
      <c r="T363" s="35"/>
      <c r="Z363" s="54"/>
      <c r="AA363" s="30"/>
      <c r="AB363" s="30"/>
      <c r="AF363" s="48"/>
      <c r="AG363" s="27"/>
      <c r="AH363" s="27"/>
      <c r="AI363" s="6"/>
      <c r="AJ363" s="30"/>
    </row>
    <row r="364" spans="7:36" x14ac:dyDescent="0.3">
      <c r="G364" s="46"/>
      <c r="H364" s="39"/>
      <c r="N364" s="30"/>
      <c r="Q364" s="30"/>
      <c r="T364" s="35"/>
      <c r="Z364" s="54"/>
      <c r="AA364" s="30"/>
      <c r="AB364" s="30"/>
      <c r="AF364" s="48"/>
      <c r="AG364" s="27"/>
      <c r="AH364" s="27"/>
      <c r="AI364" s="6"/>
      <c r="AJ364" s="30"/>
    </row>
    <row r="365" spans="7:36" x14ac:dyDescent="0.3">
      <c r="G365" s="46"/>
      <c r="H365" s="39"/>
      <c r="N365" s="30"/>
      <c r="Q365" s="30"/>
      <c r="T365" s="35"/>
      <c r="Z365" s="54"/>
      <c r="AA365" s="30"/>
      <c r="AB365" s="30"/>
      <c r="AF365" s="48"/>
      <c r="AG365" s="27"/>
      <c r="AH365" s="27"/>
      <c r="AI365" s="6"/>
      <c r="AJ365" s="30"/>
    </row>
    <row r="366" spans="7:36" x14ac:dyDescent="0.3">
      <c r="G366" s="46"/>
      <c r="H366" s="39"/>
      <c r="N366" s="30"/>
      <c r="Q366" s="30"/>
      <c r="T366" s="35"/>
      <c r="Z366" s="54"/>
      <c r="AA366" s="30"/>
      <c r="AB366" s="30"/>
      <c r="AF366" s="48"/>
      <c r="AG366" s="27"/>
      <c r="AH366" s="27"/>
      <c r="AI366" s="6"/>
      <c r="AJ366" s="30"/>
    </row>
    <row r="367" spans="7:36" x14ac:dyDescent="0.3">
      <c r="G367" s="46"/>
      <c r="H367" s="39"/>
      <c r="N367" s="30"/>
      <c r="Q367" s="30"/>
      <c r="T367" s="35"/>
      <c r="Z367" s="54"/>
      <c r="AA367" s="30"/>
      <c r="AB367" s="30"/>
      <c r="AF367" s="48"/>
      <c r="AG367" s="27"/>
      <c r="AH367" s="27"/>
      <c r="AI367" s="6"/>
      <c r="AJ367" s="30"/>
    </row>
    <row r="368" spans="7:36" x14ac:dyDescent="0.3">
      <c r="G368" s="46"/>
      <c r="H368" s="39"/>
      <c r="N368" s="30"/>
      <c r="Q368" s="30"/>
      <c r="T368" s="35"/>
      <c r="Z368" s="54"/>
      <c r="AA368" s="30"/>
      <c r="AB368" s="30"/>
      <c r="AF368" s="48"/>
      <c r="AG368" s="27"/>
      <c r="AH368" s="27"/>
      <c r="AI368" s="6"/>
      <c r="AJ368" s="30"/>
    </row>
    <row r="369" spans="7:36" x14ac:dyDescent="0.3">
      <c r="G369" s="46"/>
      <c r="H369" s="39"/>
      <c r="N369" s="30"/>
      <c r="Q369" s="30"/>
      <c r="T369" s="35"/>
      <c r="Z369" s="54"/>
      <c r="AA369" s="30"/>
      <c r="AB369" s="30"/>
      <c r="AF369" s="48"/>
      <c r="AG369" s="27"/>
      <c r="AH369" s="27"/>
      <c r="AI369" s="6"/>
      <c r="AJ369" s="30"/>
    </row>
    <row r="370" spans="7:36" x14ac:dyDescent="0.3">
      <c r="G370" s="46"/>
      <c r="H370" s="39"/>
      <c r="N370" s="30"/>
      <c r="Q370" s="30"/>
      <c r="T370" s="35"/>
      <c r="Z370" s="54"/>
      <c r="AA370" s="30"/>
      <c r="AB370" s="30"/>
      <c r="AF370" s="48"/>
      <c r="AG370" s="27"/>
      <c r="AH370" s="27"/>
      <c r="AI370" s="6"/>
      <c r="AJ370" s="30"/>
    </row>
    <row r="371" spans="7:36" x14ac:dyDescent="0.3">
      <c r="G371" s="46"/>
      <c r="H371" s="39"/>
      <c r="N371" s="30"/>
      <c r="Q371" s="30"/>
      <c r="T371" s="35"/>
      <c r="Z371" s="54"/>
      <c r="AA371" s="30"/>
      <c r="AB371" s="30"/>
      <c r="AF371" s="48"/>
      <c r="AG371" s="27"/>
      <c r="AH371" s="27"/>
      <c r="AI371" s="6"/>
      <c r="AJ371" s="30"/>
    </row>
    <row r="372" spans="7:36" x14ac:dyDescent="0.3">
      <c r="G372" s="46"/>
      <c r="H372" s="39"/>
      <c r="N372" s="30"/>
      <c r="Q372" s="30"/>
      <c r="T372" s="35"/>
      <c r="Z372" s="54"/>
      <c r="AA372" s="30"/>
      <c r="AB372" s="30"/>
      <c r="AF372" s="48"/>
      <c r="AG372" s="27"/>
      <c r="AH372" s="27"/>
      <c r="AI372" s="6"/>
      <c r="AJ372" s="30"/>
    </row>
    <row r="373" spans="7:36" x14ac:dyDescent="0.3">
      <c r="G373" s="46"/>
      <c r="H373" s="39"/>
      <c r="N373" s="30"/>
      <c r="Q373" s="30"/>
      <c r="T373" s="35"/>
      <c r="Z373" s="54"/>
      <c r="AA373" s="30"/>
      <c r="AB373" s="30"/>
      <c r="AF373" s="48"/>
      <c r="AG373" s="27"/>
      <c r="AH373" s="27"/>
      <c r="AI373" s="6"/>
      <c r="AJ373" s="30"/>
    </row>
    <row r="374" spans="7:36" x14ac:dyDescent="0.3">
      <c r="G374" s="46"/>
      <c r="H374" s="39"/>
      <c r="N374" s="30"/>
      <c r="Q374" s="30"/>
      <c r="T374" s="35"/>
      <c r="Z374" s="32"/>
      <c r="AA374" s="30"/>
      <c r="AB374" s="30"/>
      <c r="AF374" s="48"/>
      <c r="AG374" s="27"/>
      <c r="AH374" s="27"/>
      <c r="AI374" s="6"/>
      <c r="AJ374" s="30"/>
    </row>
    <row r="375" spans="7:36" x14ac:dyDescent="0.3">
      <c r="G375" s="46"/>
      <c r="H375" s="39"/>
      <c r="N375" s="30"/>
      <c r="Q375" s="30"/>
      <c r="T375" s="35"/>
      <c r="Z375" s="32"/>
      <c r="AA375" s="30"/>
      <c r="AB375" s="30"/>
      <c r="AF375" s="48"/>
      <c r="AG375" s="27"/>
      <c r="AH375" s="27"/>
      <c r="AI375" s="6"/>
      <c r="AJ375" s="30"/>
    </row>
    <row r="376" spans="7:36" x14ac:dyDescent="0.3">
      <c r="G376" s="46"/>
      <c r="H376" s="39"/>
      <c r="N376" s="30"/>
      <c r="Q376" s="30"/>
      <c r="T376" s="35"/>
      <c r="Z376" s="32"/>
      <c r="AA376" s="30"/>
      <c r="AB376" s="30"/>
      <c r="AF376" s="48"/>
      <c r="AG376" s="27"/>
      <c r="AH376" s="27"/>
      <c r="AI376" s="6"/>
      <c r="AJ376" s="30"/>
    </row>
    <row r="377" spans="7:36" x14ac:dyDescent="0.3">
      <c r="G377" s="46"/>
      <c r="H377" s="39"/>
      <c r="N377" s="30"/>
      <c r="Q377" s="30"/>
      <c r="T377" s="35"/>
      <c r="Z377" s="32"/>
      <c r="AA377" s="30"/>
      <c r="AB377" s="30"/>
      <c r="AF377" s="48"/>
      <c r="AG377" s="27"/>
      <c r="AH377" s="27"/>
      <c r="AI377" s="6"/>
      <c r="AJ377" s="30"/>
    </row>
    <row r="378" spans="7:36" x14ac:dyDescent="0.3">
      <c r="G378" s="46"/>
      <c r="H378" s="39"/>
      <c r="N378" s="30"/>
      <c r="Q378" s="30"/>
      <c r="T378" s="35"/>
      <c r="Z378" s="32"/>
      <c r="AA378" s="30"/>
      <c r="AB378" s="30"/>
      <c r="AF378" s="48"/>
      <c r="AG378" s="27"/>
      <c r="AH378" s="27"/>
      <c r="AI378" s="6"/>
      <c r="AJ378" s="30"/>
    </row>
    <row r="379" spans="7:36" x14ac:dyDescent="0.3">
      <c r="G379" s="46"/>
      <c r="H379" s="39"/>
      <c r="N379" s="30"/>
      <c r="Q379" s="30"/>
      <c r="T379" s="35"/>
      <c r="Z379" s="32"/>
      <c r="AA379" s="30"/>
      <c r="AB379" s="30"/>
      <c r="AF379" s="48"/>
      <c r="AG379" s="27"/>
      <c r="AH379" s="27"/>
      <c r="AI379" s="6"/>
      <c r="AJ379" s="30"/>
    </row>
    <row r="380" spans="7:36" x14ac:dyDescent="0.3">
      <c r="G380" s="46"/>
      <c r="H380" s="39"/>
      <c r="N380" s="30"/>
      <c r="Q380" s="30"/>
      <c r="T380" s="35"/>
      <c r="Z380" s="32"/>
      <c r="AA380" s="30"/>
      <c r="AB380" s="30"/>
      <c r="AF380" s="48"/>
      <c r="AG380" s="27"/>
      <c r="AH380" s="27"/>
      <c r="AI380" s="6"/>
      <c r="AJ380" s="30"/>
    </row>
    <row r="381" spans="7:36" x14ac:dyDescent="0.3">
      <c r="G381" s="46"/>
      <c r="H381" s="39"/>
      <c r="N381" s="30"/>
      <c r="Q381" s="30"/>
      <c r="T381" s="35"/>
      <c r="Z381" s="32"/>
      <c r="AA381" s="30"/>
      <c r="AB381" s="30"/>
      <c r="AF381" s="48"/>
      <c r="AG381" s="27"/>
      <c r="AH381" s="27"/>
      <c r="AI381" s="6"/>
      <c r="AJ381" s="30"/>
    </row>
    <row r="382" spans="7:36" x14ac:dyDescent="0.3">
      <c r="G382" s="46"/>
      <c r="H382" s="39"/>
      <c r="N382" s="30"/>
      <c r="Q382" s="30"/>
      <c r="T382" s="35"/>
      <c r="Z382" s="32"/>
      <c r="AA382" s="30"/>
      <c r="AB382" s="30"/>
      <c r="AF382" s="48"/>
      <c r="AG382" s="27"/>
      <c r="AH382" s="27"/>
      <c r="AI382" s="6"/>
      <c r="AJ382" s="30"/>
    </row>
    <row r="383" spans="7:36" x14ac:dyDescent="0.3">
      <c r="G383" s="46"/>
      <c r="H383" s="39"/>
      <c r="N383" s="30"/>
      <c r="Q383" s="30"/>
      <c r="T383" s="35"/>
      <c r="Z383" s="32"/>
      <c r="AA383" s="30"/>
      <c r="AB383" s="30"/>
      <c r="AF383" s="48"/>
      <c r="AG383" s="27"/>
      <c r="AH383" s="27"/>
      <c r="AI383" s="6"/>
      <c r="AJ383" s="30"/>
    </row>
    <row r="384" spans="7:36" x14ac:dyDescent="0.3">
      <c r="G384" s="46"/>
      <c r="H384" s="39"/>
      <c r="N384" s="30"/>
      <c r="Q384" s="30"/>
      <c r="T384" s="35"/>
      <c r="Z384" s="32"/>
      <c r="AA384" s="30"/>
      <c r="AB384" s="30"/>
      <c r="AF384" s="48"/>
      <c r="AG384" s="27"/>
      <c r="AH384" s="27"/>
      <c r="AI384" s="6"/>
      <c r="AJ384" s="30"/>
    </row>
    <row r="385" spans="7:36" x14ac:dyDescent="0.3">
      <c r="G385" s="46"/>
      <c r="H385" s="39"/>
      <c r="N385" s="30"/>
      <c r="Q385" s="30"/>
      <c r="T385" s="35"/>
      <c r="Z385" s="32"/>
      <c r="AA385" s="30"/>
      <c r="AB385" s="30"/>
      <c r="AF385" s="48"/>
      <c r="AG385" s="27"/>
      <c r="AH385" s="27"/>
      <c r="AI385" s="6"/>
      <c r="AJ385" s="30"/>
    </row>
    <row r="386" spans="7:36" x14ac:dyDescent="0.3">
      <c r="G386" s="46"/>
      <c r="H386" s="39"/>
      <c r="N386" s="30"/>
      <c r="Q386" s="30"/>
      <c r="T386" s="35"/>
      <c r="Z386" s="32"/>
      <c r="AA386" s="30"/>
      <c r="AB386" s="30"/>
      <c r="AF386" s="48"/>
      <c r="AG386" s="27"/>
      <c r="AH386" s="27"/>
      <c r="AI386" s="6"/>
      <c r="AJ386" s="30"/>
    </row>
    <row r="387" spans="7:36" x14ac:dyDescent="0.3">
      <c r="G387" s="46"/>
      <c r="H387" s="39"/>
      <c r="N387" s="30"/>
      <c r="Q387" s="30"/>
      <c r="T387" s="35"/>
      <c r="Z387" s="32"/>
      <c r="AA387" s="30"/>
      <c r="AB387" s="30"/>
      <c r="AF387" s="48"/>
      <c r="AG387" s="27"/>
      <c r="AH387" s="27"/>
      <c r="AI387" s="6"/>
      <c r="AJ387" s="30"/>
    </row>
    <row r="388" spans="7:36" x14ac:dyDescent="0.3">
      <c r="G388" s="46"/>
      <c r="H388" s="39"/>
      <c r="N388" s="30"/>
      <c r="Q388" s="30"/>
      <c r="T388" s="35"/>
      <c r="Z388" s="32"/>
      <c r="AA388" s="30"/>
      <c r="AB388" s="30"/>
      <c r="AF388" s="48"/>
      <c r="AG388" s="27"/>
      <c r="AH388" s="27"/>
      <c r="AI388" s="6"/>
      <c r="AJ388" s="30"/>
    </row>
    <row r="389" spans="7:36" x14ac:dyDescent="0.3">
      <c r="G389" s="46"/>
      <c r="H389" s="39"/>
      <c r="N389" s="30"/>
      <c r="Q389" s="30"/>
      <c r="T389" s="35"/>
      <c r="Z389" s="32"/>
      <c r="AA389" s="30"/>
      <c r="AB389" s="30"/>
      <c r="AF389" s="48"/>
      <c r="AG389" s="27"/>
      <c r="AH389" s="27"/>
      <c r="AI389" s="6"/>
      <c r="AJ389" s="30"/>
    </row>
    <row r="390" spans="7:36" x14ac:dyDescent="0.3">
      <c r="G390" s="46"/>
      <c r="H390" s="39"/>
      <c r="N390" s="30"/>
      <c r="Q390" s="30"/>
      <c r="T390" s="35"/>
      <c r="Z390" s="32"/>
      <c r="AA390" s="30"/>
      <c r="AB390" s="30"/>
      <c r="AF390" s="48"/>
      <c r="AG390" s="27"/>
      <c r="AH390" s="27"/>
      <c r="AI390" s="6"/>
      <c r="AJ390" s="30"/>
    </row>
    <row r="391" spans="7:36" x14ac:dyDescent="0.3">
      <c r="G391" s="46"/>
      <c r="H391" s="39"/>
      <c r="N391" s="30"/>
      <c r="Q391" s="30"/>
      <c r="T391" s="35"/>
      <c r="Z391" s="32"/>
      <c r="AA391" s="30"/>
      <c r="AB391" s="30"/>
      <c r="AF391" s="48"/>
      <c r="AG391" s="27"/>
      <c r="AH391" s="27"/>
      <c r="AI391" s="6"/>
      <c r="AJ391" s="30"/>
    </row>
    <row r="392" spans="7:36" x14ac:dyDescent="0.3">
      <c r="G392" s="46"/>
      <c r="H392" s="39"/>
      <c r="N392" s="30"/>
      <c r="Q392" s="30"/>
      <c r="T392" s="35"/>
      <c r="Z392" s="32"/>
      <c r="AA392" s="30"/>
      <c r="AB392" s="30"/>
      <c r="AF392" s="48"/>
      <c r="AG392" s="27"/>
      <c r="AH392" s="27"/>
      <c r="AI392" s="6"/>
      <c r="AJ392" s="30"/>
    </row>
    <row r="393" spans="7:36" x14ac:dyDescent="0.3">
      <c r="G393" s="46"/>
      <c r="H393" s="39"/>
      <c r="N393" s="30"/>
      <c r="Q393" s="30"/>
      <c r="T393" s="35"/>
      <c r="Z393" s="32"/>
      <c r="AA393" s="30"/>
      <c r="AB393" s="30"/>
      <c r="AF393" s="48"/>
      <c r="AG393" s="27"/>
      <c r="AH393" s="27"/>
      <c r="AI393" s="6"/>
      <c r="AJ393" s="30"/>
    </row>
    <row r="394" spans="7:36" x14ac:dyDescent="0.3">
      <c r="G394" s="46"/>
      <c r="H394" s="39"/>
      <c r="N394" s="30"/>
      <c r="Q394" s="30"/>
      <c r="T394" s="35"/>
      <c r="Z394" s="32"/>
      <c r="AA394" s="30"/>
      <c r="AB394" s="30"/>
      <c r="AF394" s="48"/>
      <c r="AG394" s="27"/>
      <c r="AH394" s="27"/>
      <c r="AI394" s="6"/>
      <c r="AJ394" s="30"/>
    </row>
    <row r="395" spans="7:36" x14ac:dyDescent="0.3">
      <c r="G395" s="46"/>
      <c r="H395" s="39"/>
      <c r="N395" s="30"/>
      <c r="Q395" s="30"/>
      <c r="T395" s="35"/>
      <c r="Z395" s="32"/>
      <c r="AA395" s="30"/>
      <c r="AB395" s="30"/>
      <c r="AF395" s="48"/>
      <c r="AG395" s="27"/>
      <c r="AH395" s="27"/>
      <c r="AI395" s="6"/>
      <c r="AJ395" s="30"/>
    </row>
    <row r="396" spans="7:36" x14ac:dyDescent="0.3">
      <c r="G396" s="46"/>
      <c r="H396" s="39"/>
      <c r="N396" s="30"/>
      <c r="Q396" s="30"/>
      <c r="T396" s="35"/>
      <c r="Z396" s="32"/>
      <c r="AA396" s="30"/>
      <c r="AB396" s="30"/>
      <c r="AF396" s="48"/>
      <c r="AG396" s="27"/>
      <c r="AH396" s="27"/>
      <c r="AI396" s="6"/>
      <c r="AJ396" s="30"/>
    </row>
    <row r="397" spans="7:36" x14ac:dyDescent="0.3">
      <c r="G397" s="46"/>
      <c r="H397" s="39"/>
      <c r="N397" s="30"/>
      <c r="Q397" s="30"/>
      <c r="T397" s="35"/>
      <c r="Z397" s="32"/>
      <c r="AA397" s="30"/>
      <c r="AB397" s="30"/>
      <c r="AF397" s="48"/>
      <c r="AG397" s="27"/>
      <c r="AH397" s="27"/>
      <c r="AI397" s="6"/>
      <c r="AJ397" s="30"/>
    </row>
    <row r="398" spans="7:36" x14ac:dyDescent="0.3">
      <c r="G398" s="46"/>
      <c r="H398" s="39"/>
      <c r="N398" s="30"/>
      <c r="Q398" s="30"/>
      <c r="T398" s="35"/>
      <c r="Z398" s="32"/>
      <c r="AA398" s="30"/>
      <c r="AB398" s="30"/>
      <c r="AF398" s="48"/>
      <c r="AG398" s="27"/>
      <c r="AH398" s="27"/>
      <c r="AI398" s="6"/>
      <c r="AJ398" s="30"/>
    </row>
    <row r="399" spans="7:36" x14ac:dyDescent="0.3">
      <c r="G399" s="46"/>
      <c r="H399" s="39"/>
      <c r="N399" s="30"/>
      <c r="Q399" s="30"/>
      <c r="T399" s="35"/>
      <c r="Z399" s="32"/>
      <c r="AA399" s="30"/>
      <c r="AB399" s="30"/>
      <c r="AF399" s="48"/>
      <c r="AG399" s="27"/>
      <c r="AH399" s="27"/>
      <c r="AI399" s="6"/>
      <c r="AJ399" s="30"/>
    </row>
    <row r="400" spans="7:36" x14ac:dyDescent="0.3">
      <c r="G400" s="46"/>
      <c r="H400" s="39"/>
      <c r="N400" s="30"/>
      <c r="Q400" s="30"/>
      <c r="T400" s="35"/>
      <c r="Z400" s="32"/>
      <c r="AA400" s="30"/>
      <c r="AB400" s="30"/>
      <c r="AF400" s="48"/>
      <c r="AG400" s="27"/>
      <c r="AH400" s="27"/>
      <c r="AI400" s="6"/>
      <c r="AJ400" s="30"/>
    </row>
    <row r="401" spans="7:36" x14ac:dyDescent="0.3">
      <c r="G401" s="46"/>
      <c r="H401" s="39"/>
      <c r="N401" s="30"/>
      <c r="Q401" s="30"/>
      <c r="T401" s="35"/>
      <c r="Z401" s="32"/>
      <c r="AA401" s="30"/>
      <c r="AB401" s="30"/>
      <c r="AF401" s="48"/>
      <c r="AG401" s="27"/>
      <c r="AH401" s="27"/>
      <c r="AI401" s="6"/>
      <c r="AJ401" s="30"/>
    </row>
    <row r="402" spans="7:36" x14ac:dyDescent="0.3">
      <c r="G402" s="46"/>
      <c r="H402" s="39"/>
      <c r="N402" s="30"/>
      <c r="Q402" s="30"/>
      <c r="T402" s="35"/>
      <c r="Z402" s="32"/>
      <c r="AA402" s="30"/>
      <c r="AB402" s="30"/>
      <c r="AF402" s="48"/>
      <c r="AG402" s="27"/>
      <c r="AH402" s="27"/>
      <c r="AI402" s="6"/>
      <c r="AJ402" s="30"/>
    </row>
    <row r="403" spans="7:36" x14ac:dyDescent="0.3">
      <c r="G403" s="46"/>
      <c r="H403" s="39"/>
      <c r="N403" s="30"/>
      <c r="Q403" s="30"/>
      <c r="T403" s="35"/>
      <c r="Z403" s="32"/>
      <c r="AA403" s="30"/>
      <c r="AB403" s="30"/>
      <c r="AF403" s="48"/>
      <c r="AG403" s="27"/>
      <c r="AH403" s="27"/>
      <c r="AI403" s="6"/>
      <c r="AJ403" s="30"/>
    </row>
    <row r="404" spans="7:36" x14ac:dyDescent="0.3">
      <c r="G404" s="46"/>
      <c r="H404" s="39"/>
      <c r="N404" s="30"/>
      <c r="Q404" s="30"/>
      <c r="T404" s="35"/>
      <c r="Z404" s="32"/>
      <c r="AA404" s="30"/>
      <c r="AB404" s="30"/>
      <c r="AF404" s="48"/>
      <c r="AG404" s="27"/>
      <c r="AH404" s="27"/>
      <c r="AI404" s="6"/>
      <c r="AJ404" s="30"/>
    </row>
    <row r="405" spans="7:36" x14ac:dyDescent="0.3">
      <c r="G405" s="46"/>
      <c r="H405" s="39"/>
      <c r="N405" s="30"/>
      <c r="Q405" s="30"/>
      <c r="T405" s="35"/>
      <c r="Z405" s="32"/>
      <c r="AA405" s="30"/>
      <c r="AB405" s="30"/>
      <c r="AF405" s="48"/>
      <c r="AG405" s="27"/>
      <c r="AH405" s="27"/>
      <c r="AI405" s="6"/>
      <c r="AJ405" s="30"/>
    </row>
    <row r="406" spans="7:36" x14ac:dyDescent="0.3">
      <c r="G406" s="46"/>
      <c r="H406" s="39"/>
      <c r="N406" s="30"/>
      <c r="Q406" s="30"/>
      <c r="T406" s="35"/>
      <c r="Z406" s="32"/>
      <c r="AA406" s="30"/>
      <c r="AB406" s="30"/>
      <c r="AF406" s="48"/>
      <c r="AG406" s="27"/>
      <c r="AH406" s="27"/>
      <c r="AI406" s="6"/>
      <c r="AJ406" s="30"/>
    </row>
    <row r="407" spans="7:36" x14ac:dyDescent="0.3">
      <c r="G407" s="46"/>
      <c r="H407" s="39"/>
      <c r="N407" s="30"/>
      <c r="Q407" s="30"/>
      <c r="T407" s="35"/>
      <c r="Z407" s="32"/>
      <c r="AA407" s="30"/>
      <c r="AB407" s="30"/>
      <c r="AF407" s="48"/>
      <c r="AG407" s="27"/>
      <c r="AH407" s="27"/>
      <c r="AI407" s="6"/>
      <c r="AJ407" s="30"/>
    </row>
    <row r="408" spans="7:36" x14ac:dyDescent="0.3">
      <c r="G408" s="46"/>
      <c r="H408" s="39"/>
      <c r="N408" s="30"/>
      <c r="Q408" s="30"/>
      <c r="T408" s="35"/>
      <c r="Z408" s="32"/>
      <c r="AA408" s="30"/>
      <c r="AB408" s="30"/>
      <c r="AF408" s="48"/>
      <c r="AG408" s="27"/>
      <c r="AH408" s="27"/>
      <c r="AI408" s="6"/>
      <c r="AJ408" s="30"/>
    </row>
    <row r="409" spans="7:36" x14ac:dyDescent="0.3">
      <c r="G409" s="46"/>
      <c r="H409" s="39"/>
      <c r="N409" s="30"/>
      <c r="Q409" s="30"/>
      <c r="T409" s="35"/>
      <c r="Z409" s="32"/>
      <c r="AA409" s="30"/>
      <c r="AB409" s="30"/>
      <c r="AF409" s="48"/>
      <c r="AG409" s="27"/>
      <c r="AH409" s="27"/>
      <c r="AI409" s="6"/>
      <c r="AJ409" s="30"/>
    </row>
    <row r="410" spans="7:36" x14ac:dyDescent="0.3">
      <c r="G410" s="46"/>
      <c r="H410" s="39"/>
      <c r="N410" s="30"/>
      <c r="Q410" s="30"/>
      <c r="T410" s="35"/>
      <c r="Z410" s="32"/>
      <c r="AA410" s="30"/>
      <c r="AB410" s="30"/>
      <c r="AF410" s="48"/>
      <c r="AG410" s="27"/>
      <c r="AH410" s="27"/>
      <c r="AI410" s="6"/>
      <c r="AJ410" s="30"/>
    </row>
    <row r="411" spans="7:36" x14ac:dyDescent="0.3">
      <c r="G411" s="46"/>
      <c r="H411" s="39"/>
      <c r="N411" s="30"/>
      <c r="Q411" s="30"/>
      <c r="T411" s="35"/>
      <c r="Z411" s="32"/>
      <c r="AA411" s="30"/>
      <c r="AB411" s="30"/>
      <c r="AF411" s="48"/>
      <c r="AG411" s="27"/>
      <c r="AH411" s="27"/>
      <c r="AI411" s="6"/>
      <c r="AJ411" s="30"/>
    </row>
    <row r="412" spans="7:36" x14ac:dyDescent="0.3">
      <c r="G412" s="46"/>
      <c r="H412" s="39"/>
      <c r="N412" s="30"/>
      <c r="Q412" s="30"/>
      <c r="T412" s="35"/>
      <c r="Z412" s="32"/>
      <c r="AA412" s="30"/>
      <c r="AB412" s="30"/>
      <c r="AF412" s="48"/>
      <c r="AG412" s="27"/>
      <c r="AH412" s="27"/>
      <c r="AI412" s="6"/>
      <c r="AJ412" s="30"/>
    </row>
    <row r="413" spans="7:36" x14ac:dyDescent="0.3">
      <c r="G413" s="46"/>
      <c r="H413" s="39"/>
      <c r="N413" s="30"/>
      <c r="Q413" s="30"/>
      <c r="T413" s="35"/>
      <c r="Z413" s="32"/>
      <c r="AA413" s="30"/>
      <c r="AB413" s="30"/>
      <c r="AF413" s="48"/>
      <c r="AG413" s="27"/>
      <c r="AH413" s="27"/>
      <c r="AI413" s="6"/>
      <c r="AJ413" s="30"/>
    </row>
    <row r="414" spans="7:36" x14ac:dyDescent="0.3">
      <c r="G414" s="46"/>
      <c r="H414" s="39"/>
      <c r="N414" s="30"/>
      <c r="Q414" s="30"/>
      <c r="T414" s="35"/>
      <c r="Z414" s="32"/>
      <c r="AA414" s="30"/>
      <c r="AB414" s="30"/>
      <c r="AF414" s="48"/>
      <c r="AG414" s="27"/>
      <c r="AH414" s="27"/>
      <c r="AI414" s="6"/>
      <c r="AJ414" s="30"/>
    </row>
    <row r="415" spans="7:36" x14ac:dyDescent="0.3">
      <c r="G415" s="46"/>
      <c r="H415" s="39"/>
      <c r="N415" s="30"/>
      <c r="Q415" s="30"/>
      <c r="T415" s="35"/>
      <c r="Z415" s="32"/>
      <c r="AA415" s="30"/>
      <c r="AB415" s="30"/>
      <c r="AF415" s="48"/>
      <c r="AG415" s="27"/>
      <c r="AH415" s="27"/>
      <c r="AI415" s="6"/>
      <c r="AJ415" s="30"/>
    </row>
    <row r="416" spans="7:36" x14ac:dyDescent="0.3">
      <c r="G416" s="46"/>
      <c r="H416" s="39"/>
      <c r="N416" s="30"/>
      <c r="Q416" s="30"/>
      <c r="T416" s="35"/>
      <c r="Z416" s="32"/>
      <c r="AA416" s="30"/>
      <c r="AB416" s="30"/>
      <c r="AF416" s="48"/>
      <c r="AG416" s="27"/>
      <c r="AH416" s="27"/>
      <c r="AI416" s="6"/>
      <c r="AJ416" s="30"/>
    </row>
    <row r="417" spans="7:36" x14ac:dyDescent="0.3">
      <c r="G417" s="46"/>
      <c r="H417" s="39"/>
      <c r="N417" s="30"/>
      <c r="Q417" s="30"/>
      <c r="T417" s="35"/>
      <c r="Z417" s="32"/>
      <c r="AA417" s="30"/>
      <c r="AB417" s="30"/>
      <c r="AF417" s="48"/>
      <c r="AG417" s="27"/>
      <c r="AH417" s="27"/>
      <c r="AI417" s="6"/>
      <c r="AJ417" s="30"/>
    </row>
    <row r="418" spans="7:36" x14ac:dyDescent="0.3">
      <c r="G418" s="46"/>
      <c r="H418" s="39"/>
      <c r="N418" s="30"/>
      <c r="Q418" s="30"/>
      <c r="T418" s="35"/>
      <c r="Z418" s="32"/>
      <c r="AA418" s="30"/>
      <c r="AB418" s="30"/>
      <c r="AF418" s="48"/>
      <c r="AG418" s="27"/>
      <c r="AH418" s="27"/>
      <c r="AI418" s="6"/>
      <c r="AJ418" s="30"/>
    </row>
    <row r="419" spans="7:36" x14ac:dyDescent="0.3">
      <c r="G419" s="46"/>
      <c r="H419" s="39"/>
      <c r="N419" s="30"/>
      <c r="Q419" s="30"/>
      <c r="T419" s="35"/>
      <c r="Z419" s="32"/>
      <c r="AA419" s="30"/>
      <c r="AB419" s="30"/>
      <c r="AF419" s="48"/>
      <c r="AG419" s="27"/>
      <c r="AH419" s="27"/>
      <c r="AI419" s="6"/>
      <c r="AJ419" s="30"/>
    </row>
    <row r="420" spans="7:36" x14ac:dyDescent="0.3">
      <c r="G420" s="46"/>
      <c r="H420" s="39"/>
      <c r="N420" s="30"/>
      <c r="Q420" s="30"/>
      <c r="T420" s="35"/>
      <c r="Z420" s="32"/>
      <c r="AA420" s="30"/>
      <c r="AB420" s="30"/>
      <c r="AF420" s="48"/>
      <c r="AG420" s="27"/>
      <c r="AH420" s="27"/>
      <c r="AI420" s="6"/>
      <c r="AJ420" s="30"/>
    </row>
    <row r="421" spans="7:36" x14ac:dyDescent="0.3">
      <c r="G421" s="46"/>
      <c r="H421" s="39"/>
      <c r="N421" s="30"/>
      <c r="Q421" s="30"/>
      <c r="T421" s="35"/>
      <c r="Z421" s="32"/>
      <c r="AA421" s="30"/>
      <c r="AB421" s="30"/>
      <c r="AF421" s="48"/>
      <c r="AG421" s="27"/>
      <c r="AH421" s="27"/>
      <c r="AI421" s="6"/>
      <c r="AJ421" s="30"/>
    </row>
    <row r="422" spans="7:36" x14ac:dyDescent="0.3">
      <c r="G422" s="46"/>
      <c r="H422" s="39"/>
      <c r="N422" s="30"/>
      <c r="Q422" s="30"/>
      <c r="T422" s="35"/>
      <c r="Z422" s="32"/>
      <c r="AA422" s="30"/>
      <c r="AB422" s="30"/>
      <c r="AF422" s="48"/>
      <c r="AG422" s="27"/>
      <c r="AH422" s="27"/>
      <c r="AI422" s="6"/>
      <c r="AJ422" s="30"/>
    </row>
    <row r="423" spans="7:36" x14ac:dyDescent="0.3">
      <c r="G423" s="46"/>
      <c r="H423" s="39"/>
      <c r="N423" s="30"/>
      <c r="Q423" s="30"/>
      <c r="T423" s="35"/>
      <c r="Z423" s="32"/>
      <c r="AA423" s="30"/>
      <c r="AB423" s="30"/>
      <c r="AF423" s="48"/>
      <c r="AG423" s="27"/>
      <c r="AH423" s="27"/>
      <c r="AI423" s="6"/>
      <c r="AJ423" s="30"/>
    </row>
    <row r="424" spans="7:36" x14ac:dyDescent="0.3">
      <c r="G424" s="46"/>
      <c r="H424" s="39"/>
      <c r="N424" s="30"/>
      <c r="Q424" s="30"/>
      <c r="T424" s="35"/>
      <c r="Z424" s="32"/>
      <c r="AA424" s="30"/>
      <c r="AB424" s="30"/>
      <c r="AF424" s="48"/>
      <c r="AG424" s="27"/>
      <c r="AH424" s="27"/>
      <c r="AI424" s="6"/>
      <c r="AJ424" s="30"/>
    </row>
    <row r="425" spans="7:36" x14ac:dyDescent="0.3">
      <c r="G425" s="46"/>
      <c r="H425" s="39"/>
      <c r="N425" s="30"/>
      <c r="Q425" s="30"/>
      <c r="T425" s="35"/>
      <c r="Z425" s="32"/>
      <c r="AA425" s="30"/>
      <c r="AB425" s="30"/>
      <c r="AF425" s="48"/>
      <c r="AG425" s="27"/>
      <c r="AH425" s="27"/>
      <c r="AI425" s="6"/>
      <c r="AJ425" s="30"/>
    </row>
    <row r="426" spans="7:36" x14ac:dyDescent="0.3">
      <c r="G426" s="46"/>
      <c r="H426" s="39"/>
      <c r="N426" s="30"/>
      <c r="Q426" s="30"/>
      <c r="T426" s="35"/>
      <c r="Z426" s="32"/>
      <c r="AA426" s="30"/>
      <c r="AB426" s="30"/>
      <c r="AF426" s="48"/>
      <c r="AG426" s="27"/>
      <c r="AH426" s="27"/>
      <c r="AI426" s="6"/>
      <c r="AJ426" s="30"/>
    </row>
    <row r="427" spans="7:36" x14ac:dyDescent="0.3">
      <c r="G427" s="46"/>
      <c r="H427" s="39"/>
      <c r="N427" s="30"/>
      <c r="Q427" s="30"/>
      <c r="T427" s="35"/>
      <c r="Z427" s="32"/>
      <c r="AA427" s="30"/>
      <c r="AB427" s="30"/>
      <c r="AF427" s="48"/>
      <c r="AG427" s="27"/>
      <c r="AH427" s="27"/>
      <c r="AI427" s="6"/>
      <c r="AJ427" s="30"/>
    </row>
    <row r="428" spans="7:36" x14ac:dyDescent="0.3">
      <c r="G428" s="46"/>
      <c r="H428" s="39"/>
      <c r="N428" s="30"/>
      <c r="Q428" s="30"/>
      <c r="T428" s="35"/>
      <c r="Z428" s="32"/>
      <c r="AA428" s="30"/>
      <c r="AB428" s="30"/>
      <c r="AF428" s="48"/>
      <c r="AG428" s="27"/>
      <c r="AH428" s="27"/>
      <c r="AI428" s="6"/>
      <c r="AJ428" s="30"/>
    </row>
    <row r="429" spans="7:36" x14ac:dyDescent="0.3">
      <c r="G429" s="46"/>
      <c r="H429" s="39"/>
      <c r="N429" s="30"/>
      <c r="Q429" s="30"/>
      <c r="T429" s="35"/>
      <c r="Z429" s="32"/>
      <c r="AA429" s="30"/>
      <c r="AB429" s="30"/>
      <c r="AF429" s="48"/>
      <c r="AG429" s="27"/>
      <c r="AH429" s="27"/>
      <c r="AI429" s="6"/>
      <c r="AJ429" s="30"/>
    </row>
    <row r="430" spans="7:36" x14ac:dyDescent="0.3">
      <c r="G430" s="46"/>
      <c r="H430" s="39"/>
      <c r="N430" s="30"/>
      <c r="Q430" s="30"/>
      <c r="T430" s="35"/>
      <c r="Z430" s="32"/>
      <c r="AA430" s="30"/>
      <c r="AB430" s="30"/>
      <c r="AF430" s="48"/>
      <c r="AG430" s="27"/>
      <c r="AH430" s="27"/>
      <c r="AI430" s="6"/>
      <c r="AJ430" s="30"/>
    </row>
    <row r="431" spans="7:36" x14ac:dyDescent="0.3">
      <c r="G431" s="46"/>
      <c r="H431" s="39"/>
      <c r="N431" s="30"/>
      <c r="Q431" s="30"/>
      <c r="T431" s="35"/>
      <c r="Z431" s="32"/>
      <c r="AA431" s="30"/>
      <c r="AB431" s="30"/>
      <c r="AF431" s="48"/>
      <c r="AG431" s="27"/>
      <c r="AH431" s="27"/>
      <c r="AI431" s="6"/>
      <c r="AJ431" s="30"/>
    </row>
    <row r="432" spans="7:36" x14ac:dyDescent="0.3">
      <c r="G432" s="46"/>
      <c r="H432" s="39"/>
      <c r="N432" s="30"/>
      <c r="Q432" s="30"/>
      <c r="T432" s="35"/>
      <c r="Z432" s="32"/>
      <c r="AA432" s="30"/>
      <c r="AB432" s="30"/>
      <c r="AF432" s="48"/>
      <c r="AG432" s="27"/>
      <c r="AH432" s="27"/>
      <c r="AI432" s="6"/>
      <c r="AJ432" s="30"/>
    </row>
    <row r="433" spans="7:36" x14ac:dyDescent="0.3">
      <c r="G433" s="46"/>
      <c r="H433" s="39"/>
      <c r="N433" s="30"/>
      <c r="Q433" s="30"/>
      <c r="T433" s="35"/>
      <c r="Z433" s="32"/>
      <c r="AA433" s="30"/>
      <c r="AB433" s="30"/>
      <c r="AF433" s="48"/>
      <c r="AG433" s="27"/>
      <c r="AH433" s="27"/>
      <c r="AI433" s="6"/>
      <c r="AJ433" s="30"/>
    </row>
    <row r="434" spans="7:36" x14ac:dyDescent="0.3">
      <c r="G434" s="46"/>
      <c r="H434" s="39"/>
      <c r="N434" s="30"/>
      <c r="Q434" s="30"/>
      <c r="T434" s="35"/>
      <c r="Z434" s="32"/>
      <c r="AA434" s="30"/>
      <c r="AB434" s="30"/>
      <c r="AF434" s="48"/>
      <c r="AG434" s="27"/>
      <c r="AH434" s="27"/>
      <c r="AI434" s="6"/>
      <c r="AJ434" s="30"/>
    </row>
    <row r="435" spans="7:36" x14ac:dyDescent="0.3">
      <c r="G435" s="46"/>
      <c r="H435" s="39"/>
      <c r="N435" s="30"/>
      <c r="Q435" s="30"/>
      <c r="T435" s="35"/>
      <c r="Z435" s="32"/>
      <c r="AA435" s="30"/>
      <c r="AB435" s="30"/>
      <c r="AF435" s="48"/>
      <c r="AG435" s="27"/>
      <c r="AH435" s="27"/>
      <c r="AI435" s="6"/>
      <c r="AJ435" s="30"/>
    </row>
    <row r="436" spans="7:36" x14ac:dyDescent="0.3">
      <c r="G436" s="46"/>
      <c r="H436" s="39"/>
      <c r="N436" s="30"/>
      <c r="Q436" s="30"/>
      <c r="T436" s="35"/>
      <c r="Z436" s="32"/>
      <c r="AA436" s="30"/>
      <c r="AB436" s="30"/>
      <c r="AF436" s="48"/>
      <c r="AG436" s="27"/>
      <c r="AH436" s="27"/>
      <c r="AI436" s="6"/>
      <c r="AJ436" s="30"/>
    </row>
    <row r="437" spans="7:36" x14ac:dyDescent="0.3">
      <c r="G437" s="46"/>
      <c r="H437" s="39"/>
      <c r="N437" s="30"/>
      <c r="Q437" s="30"/>
      <c r="T437" s="35"/>
      <c r="Z437" s="32"/>
      <c r="AA437" s="30"/>
      <c r="AB437" s="30"/>
      <c r="AF437" s="48"/>
      <c r="AG437" s="27"/>
      <c r="AH437" s="27"/>
      <c r="AI437" s="6"/>
      <c r="AJ437" s="30"/>
    </row>
    <row r="438" spans="7:36" x14ac:dyDescent="0.3">
      <c r="G438" s="46"/>
      <c r="H438" s="39"/>
      <c r="N438" s="30"/>
      <c r="Q438" s="30"/>
      <c r="T438" s="35"/>
      <c r="Z438" s="32"/>
      <c r="AA438" s="30"/>
      <c r="AB438" s="30"/>
      <c r="AF438" s="48"/>
      <c r="AG438" s="27"/>
      <c r="AH438" s="27"/>
      <c r="AI438" s="6"/>
      <c r="AJ438" s="30"/>
    </row>
    <row r="439" spans="7:36" x14ac:dyDescent="0.3">
      <c r="G439" s="46"/>
      <c r="H439" s="39"/>
      <c r="N439" s="30"/>
      <c r="Q439" s="30"/>
      <c r="T439" s="35"/>
      <c r="Z439" s="32"/>
      <c r="AA439" s="30"/>
      <c r="AB439" s="30"/>
      <c r="AF439" s="48"/>
      <c r="AG439" s="27"/>
      <c r="AH439" s="27"/>
      <c r="AI439" s="6"/>
      <c r="AJ439" s="30"/>
    </row>
    <row r="440" spans="7:36" x14ac:dyDescent="0.3">
      <c r="G440" s="46"/>
      <c r="H440" s="39"/>
      <c r="N440" s="30"/>
      <c r="Q440" s="30"/>
      <c r="T440" s="35"/>
      <c r="Z440" s="32"/>
      <c r="AA440" s="30"/>
      <c r="AB440" s="30"/>
      <c r="AF440" s="48"/>
      <c r="AG440" s="27"/>
      <c r="AH440" s="27"/>
      <c r="AI440" s="6"/>
      <c r="AJ440" s="30"/>
    </row>
    <row r="441" spans="7:36" x14ac:dyDescent="0.3">
      <c r="G441" s="46"/>
      <c r="H441" s="39"/>
      <c r="N441" s="30"/>
      <c r="Q441" s="30"/>
      <c r="T441" s="35"/>
      <c r="Z441" s="32"/>
      <c r="AA441" s="30"/>
      <c r="AB441" s="30"/>
      <c r="AF441" s="48"/>
      <c r="AG441" s="27"/>
      <c r="AH441" s="27"/>
      <c r="AI441" s="6"/>
      <c r="AJ441" s="30"/>
    </row>
    <row r="442" spans="7:36" x14ac:dyDescent="0.3">
      <c r="G442" s="46"/>
      <c r="H442" s="39"/>
      <c r="N442" s="30"/>
      <c r="Q442" s="30"/>
      <c r="T442" s="35"/>
      <c r="Z442" s="32"/>
      <c r="AA442" s="30"/>
      <c r="AB442" s="30"/>
      <c r="AF442" s="48"/>
      <c r="AG442" s="27"/>
      <c r="AH442" s="27"/>
      <c r="AI442" s="6"/>
      <c r="AJ442" s="30"/>
    </row>
    <row r="443" spans="7:36" x14ac:dyDescent="0.3">
      <c r="G443" s="46"/>
      <c r="H443" s="39"/>
      <c r="N443" s="30"/>
      <c r="Q443" s="30"/>
      <c r="T443" s="35"/>
      <c r="Z443" s="32"/>
      <c r="AA443" s="30"/>
      <c r="AB443" s="30"/>
      <c r="AF443" s="48"/>
      <c r="AG443" s="27"/>
      <c r="AH443" s="27"/>
      <c r="AI443" s="6"/>
      <c r="AJ443" s="30"/>
    </row>
    <row r="444" spans="7:36" x14ac:dyDescent="0.3">
      <c r="G444" s="46"/>
      <c r="H444" s="39"/>
      <c r="N444" s="30"/>
      <c r="Q444" s="30"/>
      <c r="T444" s="35"/>
      <c r="Z444" s="32"/>
      <c r="AA444" s="30"/>
      <c r="AB444" s="30"/>
      <c r="AF444" s="48"/>
      <c r="AG444" s="27"/>
      <c r="AH444" s="27"/>
      <c r="AI444" s="6"/>
      <c r="AJ444" s="30"/>
    </row>
    <row r="445" spans="7:36" x14ac:dyDescent="0.3">
      <c r="G445" s="46"/>
      <c r="H445" s="39"/>
      <c r="N445" s="30"/>
      <c r="Q445" s="30"/>
      <c r="T445" s="35"/>
      <c r="Z445" s="32"/>
      <c r="AA445" s="30"/>
      <c r="AB445" s="30"/>
      <c r="AF445" s="48"/>
      <c r="AG445" s="27"/>
      <c r="AH445" s="27"/>
      <c r="AI445" s="6"/>
      <c r="AJ445" s="30"/>
    </row>
    <row r="446" spans="7:36" x14ac:dyDescent="0.3">
      <c r="G446" s="46"/>
      <c r="H446" s="39"/>
      <c r="N446" s="30"/>
      <c r="Q446" s="30"/>
      <c r="T446" s="35"/>
      <c r="Z446" s="32"/>
      <c r="AA446" s="30"/>
      <c r="AB446" s="30"/>
      <c r="AF446" s="48"/>
      <c r="AG446" s="27"/>
      <c r="AH446" s="27"/>
      <c r="AI446" s="6"/>
      <c r="AJ446" s="30"/>
    </row>
    <row r="447" spans="7:36" x14ac:dyDescent="0.3">
      <c r="G447" s="46"/>
      <c r="H447" s="39"/>
      <c r="N447" s="30"/>
      <c r="Q447" s="30"/>
      <c r="T447" s="35"/>
      <c r="Z447" s="32"/>
      <c r="AA447" s="30"/>
      <c r="AB447" s="30"/>
      <c r="AF447" s="48"/>
      <c r="AG447" s="27"/>
      <c r="AH447" s="27"/>
      <c r="AI447" s="6"/>
      <c r="AJ447" s="30"/>
    </row>
    <row r="448" spans="7:36" x14ac:dyDescent="0.3">
      <c r="G448" s="46"/>
      <c r="H448" s="39"/>
      <c r="N448" s="30"/>
      <c r="Q448" s="30"/>
      <c r="T448" s="35"/>
      <c r="Z448" s="32"/>
      <c r="AA448" s="30"/>
      <c r="AB448" s="30"/>
      <c r="AF448" s="48"/>
      <c r="AG448" s="27"/>
      <c r="AH448" s="27"/>
      <c r="AI448" s="6"/>
      <c r="AJ448" s="30"/>
    </row>
    <row r="449" spans="7:36" x14ac:dyDescent="0.3">
      <c r="G449" s="46"/>
      <c r="H449" s="39"/>
      <c r="N449" s="30"/>
      <c r="Q449" s="30"/>
      <c r="T449" s="35"/>
      <c r="Z449" s="32"/>
      <c r="AA449" s="30"/>
      <c r="AB449" s="30"/>
      <c r="AF449" s="48"/>
      <c r="AG449" s="27"/>
      <c r="AH449" s="27"/>
      <c r="AI449" s="6"/>
      <c r="AJ449" s="30"/>
    </row>
    <row r="450" spans="7:36" x14ac:dyDescent="0.3">
      <c r="G450" s="46"/>
      <c r="H450" s="39"/>
      <c r="N450" s="30"/>
      <c r="Q450" s="30"/>
      <c r="T450" s="35"/>
      <c r="Z450" s="32"/>
      <c r="AA450" s="30"/>
      <c r="AB450" s="30"/>
      <c r="AF450" s="48"/>
      <c r="AG450" s="27"/>
      <c r="AH450" s="27"/>
      <c r="AI450" s="6"/>
      <c r="AJ450" s="30"/>
    </row>
    <row r="451" spans="7:36" x14ac:dyDescent="0.3">
      <c r="G451" s="46"/>
      <c r="H451" s="39"/>
      <c r="N451" s="30"/>
      <c r="Q451" s="30"/>
      <c r="T451" s="35"/>
      <c r="Z451" s="32"/>
      <c r="AA451" s="30"/>
      <c r="AB451" s="30"/>
      <c r="AF451" s="48"/>
      <c r="AG451" s="27"/>
      <c r="AH451" s="27"/>
      <c r="AI451" s="6"/>
      <c r="AJ451" s="30"/>
    </row>
    <row r="452" spans="7:36" x14ac:dyDescent="0.3">
      <c r="G452" s="46"/>
      <c r="H452" s="39"/>
      <c r="N452" s="30"/>
      <c r="Q452" s="30"/>
      <c r="T452" s="35"/>
      <c r="Z452" s="32"/>
      <c r="AA452" s="30"/>
      <c r="AB452" s="30"/>
      <c r="AF452" s="48"/>
      <c r="AG452" s="27"/>
      <c r="AH452" s="27"/>
      <c r="AI452" s="6"/>
      <c r="AJ452" s="30"/>
    </row>
    <row r="453" spans="7:36" x14ac:dyDescent="0.3">
      <c r="G453" s="46"/>
      <c r="H453" s="39"/>
      <c r="N453" s="30"/>
      <c r="Q453" s="30"/>
      <c r="T453" s="35"/>
      <c r="Z453" s="32"/>
      <c r="AA453" s="30"/>
      <c r="AB453" s="30"/>
      <c r="AF453" s="48"/>
      <c r="AG453" s="27"/>
      <c r="AH453" s="27"/>
      <c r="AI453" s="6"/>
      <c r="AJ453" s="30"/>
    </row>
    <row r="454" spans="7:36" x14ac:dyDescent="0.3">
      <c r="G454" s="46"/>
      <c r="H454" s="39"/>
      <c r="N454" s="30"/>
      <c r="Q454" s="30"/>
      <c r="T454" s="35"/>
      <c r="Z454" s="32"/>
      <c r="AA454" s="30"/>
      <c r="AB454" s="30"/>
      <c r="AF454" s="48"/>
      <c r="AG454" s="27"/>
      <c r="AH454" s="27"/>
      <c r="AI454" s="6"/>
      <c r="AJ454" s="30"/>
    </row>
    <row r="455" spans="7:36" x14ac:dyDescent="0.3">
      <c r="G455" s="46"/>
      <c r="H455" s="39"/>
      <c r="N455" s="30"/>
      <c r="Q455" s="30"/>
      <c r="T455" s="35"/>
      <c r="Z455" s="32"/>
      <c r="AA455" s="30"/>
      <c r="AB455" s="30"/>
      <c r="AF455" s="48"/>
      <c r="AG455" s="27"/>
      <c r="AH455" s="27"/>
      <c r="AI455" s="6"/>
      <c r="AJ455" s="30"/>
    </row>
    <row r="456" spans="7:36" x14ac:dyDescent="0.3">
      <c r="G456" s="46"/>
      <c r="H456" s="39"/>
      <c r="N456" s="30"/>
      <c r="Q456" s="30"/>
      <c r="T456" s="35"/>
      <c r="Z456" s="32"/>
      <c r="AA456" s="30"/>
      <c r="AB456" s="30"/>
      <c r="AF456" s="48"/>
      <c r="AG456" s="27"/>
      <c r="AH456" s="27"/>
      <c r="AI456" s="6"/>
      <c r="AJ456" s="30"/>
    </row>
    <row r="457" spans="7:36" x14ac:dyDescent="0.3">
      <c r="G457" s="46"/>
      <c r="H457" s="39"/>
      <c r="N457" s="30"/>
      <c r="Q457" s="30"/>
      <c r="T457" s="35"/>
      <c r="Z457" s="32"/>
      <c r="AA457" s="30"/>
      <c r="AB457" s="30"/>
      <c r="AF457" s="48"/>
      <c r="AG457" s="27"/>
      <c r="AH457" s="27"/>
      <c r="AI457" s="6"/>
      <c r="AJ457" s="30"/>
    </row>
    <row r="458" spans="7:36" x14ac:dyDescent="0.3">
      <c r="G458" s="46"/>
      <c r="H458" s="39"/>
      <c r="N458" s="30"/>
      <c r="Q458" s="30"/>
      <c r="T458" s="35"/>
      <c r="Z458" s="32"/>
      <c r="AA458" s="30"/>
      <c r="AB458" s="30"/>
      <c r="AF458" s="48"/>
      <c r="AG458" s="27"/>
      <c r="AH458" s="27"/>
      <c r="AI458" s="6"/>
      <c r="AJ458" s="30"/>
    </row>
    <row r="459" spans="7:36" x14ac:dyDescent="0.3">
      <c r="G459" s="46"/>
      <c r="H459" s="39"/>
      <c r="N459" s="30"/>
      <c r="Q459" s="30"/>
      <c r="T459" s="35"/>
      <c r="Z459" s="32"/>
      <c r="AA459" s="30"/>
      <c r="AB459" s="30"/>
      <c r="AF459" s="48"/>
      <c r="AG459" s="27"/>
      <c r="AH459" s="27"/>
      <c r="AI459" s="6"/>
      <c r="AJ459" s="30"/>
    </row>
    <row r="460" spans="7:36" x14ac:dyDescent="0.3">
      <c r="G460" s="46"/>
      <c r="H460" s="39"/>
      <c r="N460" s="30"/>
      <c r="Q460" s="30"/>
      <c r="T460" s="35"/>
      <c r="Z460" s="32"/>
      <c r="AA460" s="30"/>
      <c r="AB460" s="30"/>
      <c r="AF460" s="48"/>
      <c r="AG460" s="27"/>
      <c r="AH460" s="27"/>
      <c r="AI460" s="6"/>
      <c r="AJ460" s="30"/>
    </row>
    <row r="461" spans="7:36" x14ac:dyDescent="0.3">
      <c r="G461" s="46"/>
      <c r="H461" s="39"/>
      <c r="N461" s="30"/>
      <c r="Q461" s="30"/>
      <c r="T461" s="35"/>
      <c r="Z461" s="32"/>
      <c r="AA461" s="30"/>
      <c r="AB461" s="30"/>
      <c r="AF461" s="48"/>
      <c r="AG461" s="27"/>
      <c r="AH461" s="27"/>
      <c r="AI461" s="6"/>
      <c r="AJ461" s="30"/>
    </row>
    <row r="462" spans="7:36" x14ac:dyDescent="0.3">
      <c r="G462" s="46"/>
      <c r="H462" s="39"/>
      <c r="N462" s="30"/>
      <c r="Q462" s="30"/>
      <c r="T462" s="35"/>
      <c r="Z462" s="32"/>
      <c r="AA462" s="30"/>
      <c r="AB462" s="30"/>
      <c r="AF462" s="48"/>
      <c r="AG462" s="27"/>
      <c r="AH462" s="27"/>
      <c r="AI462" s="6"/>
      <c r="AJ462" s="30"/>
    </row>
    <row r="463" spans="7:36" x14ac:dyDescent="0.3">
      <c r="G463" s="46"/>
      <c r="H463" s="39"/>
      <c r="N463" s="30"/>
      <c r="Q463" s="30"/>
      <c r="T463" s="35"/>
      <c r="Z463" s="32"/>
      <c r="AA463" s="30"/>
      <c r="AB463" s="30"/>
      <c r="AF463" s="48"/>
      <c r="AG463" s="27"/>
      <c r="AH463" s="27"/>
      <c r="AI463" s="6"/>
      <c r="AJ463" s="30"/>
    </row>
    <row r="464" spans="7:36" x14ac:dyDescent="0.3">
      <c r="G464" s="46"/>
      <c r="H464" s="39"/>
      <c r="N464" s="30"/>
      <c r="Q464" s="30"/>
      <c r="T464" s="35"/>
      <c r="Z464" s="32"/>
      <c r="AA464" s="30"/>
      <c r="AB464" s="30"/>
      <c r="AF464" s="48"/>
      <c r="AG464" s="27"/>
      <c r="AH464" s="27"/>
      <c r="AI464" s="6"/>
      <c r="AJ464" s="30"/>
    </row>
    <row r="465" spans="7:36" x14ac:dyDescent="0.3">
      <c r="G465" s="46"/>
      <c r="H465" s="39"/>
      <c r="N465" s="30"/>
      <c r="Q465" s="30"/>
      <c r="T465" s="35"/>
      <c r="Z465" s="32"/>
      <c r="AA465" s="30"/>
      <c r="AB465" s="30"/>
      <c r="AF465" s="48"/>
      <c r="AG465" s="27"/>
      <c r="AH465" s="27"/>
      <c r="AI465" s="6"/>
      <c r="AJ465" s="30"/>
    </row>
    <row r="466" spans="7:36" x14ac:dyDescent="0.3">
      <c r="G466" s="46"/>
      <c r="H466" s="39"/>
      <c r="N466" s="30"/>
      <c r="Q466" s="30"/>
      <c r="T466" s="35"/>
      <c r="Z466" s="32"/>
      <c r="AA466" s="30"/>
      <c r="AB466" s="30"/>
      <c r="AF466" s="48"/>
      <c r="AG466" s="27"/>
      <c r="AH466" s="27"/>
      <c r="AI466" s="6"/>
      <c r="AJ466" s="30"/>
    </row>
    <row r="467" spans="7:36" x14ac:dyDescent="0.3">
      <c r="G467" s="46"/>
      <c r="H467" s="39"/>
      <c r="N467" s="30"/>
      <c r="Q467" s="30"/>
      <c r="T467" s="35"/>
      <c r="Z467" s="32"/>
      <c r="AA467" s="30"/>
      <c r="AB467" s="30"/>
      <c r="AF467" s="48"/>
      <c r="AG467" s="27"/>
      <c r="AH467" s="27"/>
      <c r="AI467" s="6"/>
      <c r="AJ467" s="30"/>
    </row>
    <row r="468" spans="7:36" x14ac:dyDescent="0.3">
      <c r="G468" s="46"/>
      <c r="H468" s="39"/>
      <c r="N468" s="30"/>
      <c r="Q468" s="30"/>
      <c r="T468" s="35"/>
      <c r="Z468" s="32"/>
      <c r="AA468" s="30"/>
      <c r="AB468" s="30"/>
      <c r="AF468" s="48"/>
      <c r="AG468" s="27"/>
      <c r="AH468" s="27"/>
      <c r="AI468" s="6"/>
      <c r="AJ468" s="30"/>
    </row>
    <row r="469" spans="7:36" x14ac:dyDescent="0.3">
      <c r="G469" s="46"/>
      <c r="H469" s="39"/>
      <c r="N469" s="30"/>
      <c r="Q469" s="30"/>
      <c r="T469" s="35"/>
      <c r="Z469" s="32"/>
      <c r="AA469" s="30"/>
      <c r="AB469" s="30"/>
      <c r="AF469" s="48"/>
      <c r="AG469" s="27"/>
      <c r="AH469" s="27"/>
      <c r="AI469" s="6"/>
      <c r="AJ469" s="30"/>
    </row>
    <row r="470" spans="7:36" x14ac:dyDescent="0.3">
      <c r="G470" s="46"/>
      <c r="H470" s="39"/>
      <c r="N470" s="30"/>
      <c r="Q470" s="30"/>
      <c r="T470" s="35"/>
      <c r="Z470" s="32"/>
      <c r="AA470" s="30"/>
      <c r="AB470" s="30"/>
      <c r="AF470" s="48"/>
      <c r="AG470" s="27"/>
      <c r="AH470" s="27"/>
      <c r="AI470" s="6"/>
      <c r="AJ470" s="30"/>
    </row>
    <row r="471" spans="7:36" x14ac:dyDescent="0.3">
      <c r="G471" s="46"/>
      <c r="H471" s="39"/>
      <c r="N471" s="30"/>
      <c r="Q471" s="30"/>
      <c r="T471" s="35"/>
      <c r="Z471" s="32"/>
      <c r="AA471" s="30"/>
      <c r="AB471" s="30"/>
      <c r="AF471" s="48"/>
      <c r="AG471" s="27"/>
      <c r="AH471" s="27"/>
      <c r="AI471" s="6"/>
      <c r="AJ471" s="30"/>
    </row>
    <row r="472" spans="7:36" x14ac:dyDescent="0.3">
      <c r="G472" s="46"/>
      <c r="H472" s="39"/>
      <c r="N472" s="30"/>
      <c r="Q472" s="30"/>
      <c r="T472" s="35"/>
      <c r="Z472" s="32"/>
      <c r="AA472" s="30"/>
      <c r="AB472" s="30"/>
      <c r="AF472" s="48"/>
      <c r="AG472" s="27"/>
      <c r="AH472" s="27"/>
      <c r="AI472" s="6"/>
      <c r="AJ472" s="30"/>
    </row>
    <row r="473" spans="7:36" x14ac:dyDescent="0.3">
      <c r="G473" s="46"/>
      <c r="H473" s="39"/>
      <c r="N473" s="30"/>
      <c r="Q473" s="30"/>
      <c r="T473" s="35"/>
      <c r="Z473" s="32"/>
      <c r="AA473" s="30"/>
      <c r="AB473" s="30"/>
      <c r="AF473" s="48"/>
      <c r="AG473" s="27"/>
      <c r="AH473" s="27"/>
      <c r="AI473" s="6"/>
      <c r="AJ473" s="30"/>
    </row>
    <row r="474" spans="7:36" x14ac:dyDescent="0.3">
      <c r="G474" s="46"/>
      <c r="H474" s="39"/>
      <c r="N474" s="30"/>
      <c r="Q474" s="30"/>
      <c r="T474" s="35"/>
      <c r="Z474" s="32"/>
      <c r="AA474" s="30"/>
      <c r="AB474" s="30"/>
      <c r="AF474" s="48"/>
      <c r="AG474" s="27"/>
      <c r="AH474" s="27"/>
      <c r="AI474" s="6"/>
      <c r="AJ474" s="30"/>
    </row>
    <row r="475" spans="7:36" x14ac:dyDescent="0.3">
      <c r="G475" s="46"/>
      <c r="H475" s="39"/>
      <c r="N475" s="30"/>
      <c r="Q475" s="30"/>
      <c r="T475" s="35"/>
      <c r="Z475" s="32"/>
      <c r="AA475" s="30"/>
      <c r="AB475" s="30"/>
      <c r="AF475" s="48"/>
      <c r="AG475" s="27"/>
      <c r="AH475" s="27"/>
      <c r="AI475" s="6"/>
      <c r="AJ475" s="30"/>
    </row>
    <row r="476" spans="7:36" x14ac:dyDescent="0.3">
      <c r="G476" s="46"/>
      <c r="H476" s="39"/>
      <c r="N476" s="30"/>
      <c r="Q476" s="30"/>
      <c r="T476" s="35"/>
      <c r="Z476" s="32"/>
      <c r="AA476" s="30"/>
      <c r="AB476" s="30"/>
      <c r="AF476" s="48"/>
      <c r="AG476" s="27"/>
      <c r="AH476" s="27"/>
      <c r="AI476" s="6"/>
      <c r="AJ476" s="30"/>
    </row>
    <row r="477" spans="7:36" x14ac:dyDescent="0.3">
      <c r="G477" s="46"/>
      <c r="H477" s="39"/>
      <c r="N477" s="30"/>
      <c r="Q477" s="30"/>
      <c r="T477" s="35"/>
      <c r="Z477" s="32"/>
      <c r="AA477" s="30"/>
      <c r="AB477" s="30"/>
      <c r="AF477" s="48"/>
      <c r="AG477" s="27"/>
      <c r="AH477" s="27"/>
      <c r="AI477" s="6"/>
      <c r="AJ477" s="30"/>
    </row>
    <row r="478" spans="7:36" x14ac:dyDescent="0.3">
      <c r="G478" s="46"/>
      <c r="H478" s="39"/>
      <c r="N478" s="30"/>
      <c r="Q478" s="30"/>
      <c r="T478" s="35"/>
      <c r="Z478" s="32"/>
      <c r="AA478" s="30"/>
      <c r="AB478" s="30"/>
      <c r="AF478" s="48"/>
      <c r="AG478" s="27"/>
      <c r="AH478" s="27"/>
      <c r="AI478" s="6"/>
      <c r="AJ478" s="30"/>
    </row>
    <row r="479" spans="7:36" x14ac:dyDescent="0.3">
      <c r="G479" s="46"/>
      <c r="H479" s="39"/>
      <c r="N479" s="30"/>
      <c r="Q479" s="30"/>
      <c r="T479" s="35"/>
      <c r="Z479" s="32"/>
      <c r="AA479" s="30"/>
      <c r="AB479" s="30"/>
      <c r="AF479" s="48"/>
      <c r="AG479" s="27"/>
      <c r="AH479" s="27"/>
      <c r="AI479" s="6"/>
      <c r="AJ479" s="30"/>
    </row>
    <row r="480" spans="7:36" x14ac:dyDescent="0.3">
      <c r="G480" s="46"/>
      <c r="H480" s="39"/>
      <c r="N480" s="30"/>
      <c r="Q480" s="30"/>
      <c r="T480" s="35"/>
      <c r="Z480" s="32"/>
      <c r="AA480" s="30"/>
      <c r="AB480" s="30"/>
      <c r="AF480" s="48"/>
      <c r="AG480" s="27"/>
      <c r="AH480" s="27"/>
      <c r="AI480" s="6"/>
      <c r="AJ480" s="30"/>
    </row>
    <row r="481" spans="7:36" x14ac:dyDescent="0.3">
      <c r="G481" s="46"/>
      <c r="H481" s="39"/>
      <c r="N481" s="30"/>
      <c r="Q481" s="30"/>
      <c r="T481" s="35"/>
      <c r="Z481" s="32"/>
      <c r="AA481" s="30"/>
      <c r="AB481" s="30"/>
      <c r="AF481" s="48"/>
      <c r="AG481" s="27"/>
      <c r="AH481" s="27"/>
      <c r="AI481" s="6"/>
      <c r="AJ481" s="30"/>
    </row>
    <row r="482" spans="7:36" x14ac:dyDescent="0.3">
      <c r="G482" s="46"/>
      <c r="H482" s="39"/>
      <c r="N482" s="30"/>
      <c r="Q482" s="30"/>
      <c r="T482" s="35"/>
      <c r="Z482" s="32"/>
      <c r="AA482" s="30"/>
      <c r="AB482" s="30"/>
      <c r="AF482" s="48"/>
      <c r="AG482" s="27"/>
      <c r="AH482" s="27"/>
      <c r="AI482" s="6"/>
      <c r="AJ482" s="30"/>
    </row>
    <row r="483" spans="7:36" x14ac:dyDescent="0.3">
      <c r="G483" s="46"/>
      <c r="H483" s="39"/>
      <c r="N483" s="30"/>
      <c r="Q483" s="30"/>
      <c r="T483" s="35"/>
      <c r="Z483" s="32"/>
      <c r="AA483" s="30"/>
      <c r="AB483" s="30"/>
      <c r="AF483" s="48"/>
      <c r="AG483" s="27"/>
      <c r="AH483" s="27"/>
      <c r="AI483" s="6"/>
      <c r="AJ483" s="30"/>
    </row>
    <row r="484" spans="7:36" x14ac:dyDescent="0.3">
      <c r="G484" s="46"/>
      <c r="H484" s="39"/>
      <c r="N484" s="30"/>
      <c r="Q484" s="30"/>
      <c r="T484" s="35"/>
      <c r="Z484" s="32"/>
      <c r="AA484" s="30"/>
      <c r="AB484" s="30"/>
      <c r="AF484" s="48"/>
      <c r="AG484" s="27"/>
      <c r="AH484" s="27"/>
      <c r="AI484" s="6"/>
      <c r="AJ484" s="30"/>
    </row>
    <row r="485" spans="7:36" x14ac:dyDescent="0.3">
      <c r="G485" s="46"/>
      <c r="H485" s="39"/>
      <c r="N485" s="30"/>
      <c r="Q485" s="30"/>
      <c r="T485" s="35"/>
      <c r="Z485" s="32"/>
      <c r="AA485" s="30"/>
      <c r="AB485" s="30"/>
      <c r="AF485" s="48"/>
      <c r="AG485" s="27"/>
      <c r="AH485" s="27"/>
      <c r="AI485" s="6"/>
      <c r="AJ485" s="30"/>
    </row>
    <row r="486" spans="7:36" x14ac:dyDescent="0.3">
      <c r="G486" s="46"/>
      <c r="H486" s="39"/>
      <c r="N486" s="30"/>
      <c r="Q486" s="30"/>
      <c r="T486" s="35"/>
      <c r="Z486" s="32"/>
      <c r="AA486" s="30"/>
      <c r="AB486" s="30"/>
      <c r="AF486" s="48"/>
      <c r="AG486" s="27"/>
      <c r="AH486" s="27"/>
      <c r="AI486" s="6"/>
      <c r="AJ486" s="30"/>
    </row>
    <row r="487" spans="7:36" x14ac:dyDescent="0.3">
      <c r="G487" s="46"/>
      <c r="H487" s="39"/>
      <c r="N487" s="30"/>
      <c r="Q487" s="30"/>
      <c r="T487" s="35"/>
      <c r="Z487" s="32"/>
      <c r="AA487" s="30"/>
      <c r="AB487" s="30"/>
      <c r="AF487" s="48"/>
      <c r="AG487" s="27"/>
      <c r="AH487" s="27"/>
      <c r="AI487" s="6"/>
      <c r="AJ487" s="30"/>
    </row>
    <row r="488" spans="7:36" x14ac:dyDescent="0.3">
      <c r="G488" s="46"/>
      <c r="H488" s="39"/>
      <c r="N488" s="30"/>
      <c r="Q488" s="30"/>
      <c r="T488" s="35"/>
      <c r="Z488" s="32"/>
      <c r="AA488" s="30"/>
      <c r="AB488" s="30"/>
      <c r="AF488" s="48"/>
      <c r="AG488" s="27"/>
      <c r="AH488" s="27"/>
      <c r="AI488" s="6"/>
      <c r="AJ488" s="30"/>
    </row>
    <row r="489" spans="7:36" x14ac:dyDescent="0.3">
      <c r="G489" s="46"/>
      <c r="H489" s="39"/>
      <c r="N489" s="30"/>
      <c r="Q489" s="30"/>
      <c r="T489" s="35"/>
      <c r="Z489" s="32"/>
      <c r="AA489" s="30"/>
      <c r="AB489" s="30"/>
      <c r="AF489" s="48"/>
      <c r="AG489" s="27"/>
      <c r="AH489" s="27"/>
      <c r="AI489" s="6"/>
      <c r="AJ489" s="30"/>
    </row>
    <row r="490" spans="7:36" x14ac:dyDescent="0.3">
      <c r="G490" s="46"/>
      <c r="H490" s="39"/>
      <c r="N490" s="30"/>
      <c r="Q490" s="30"/>
      <c r="T490" s="35"/>
      <c r="Z490" s="32"/>
      <c r="AA490" s="30"/>
      <c r="AB490" s="30"/>
      <c r="AF490" s="48"/>
      <c r="AG490" s="27"/>
      <c r="AH490" s="27"/>
      <c r="AI490" s="6"/>
      <c r="AJ490" s="30"/>
    </row>
    <row r="491" spans="7:36" x14ac:dyDescent="0.3">
      <c r="G491" s="46"/>
      <c r="H491" s="39"/>
      <c r="N491" s="30"/>
      <c r="Q491" s="30"/>
      <c r="T491" s="35"/>
      <c r="Z491" s="32"/>
      <c r="AA491" s="30"/>
      <c r="AB491" s="30"/>
      <c r="AF491" s="48"/>
      <c r="AG491" s="27"/>
      <c r="AH491" s="27"/>
      <c r="AI491" s="6"/>
      <c r="AJ491" s="30"/>
    </row>
    <row r="492" spans="7:36" x14ac:dyDescent="0.3">
      <c r="G492" s="46"/>
      <c r="H492" s="39"/>
      <c r="N492" s="30"/>
      <c r="Q492" s="30"/>
      <c r="T492" s="35"/>
      <c r="Z492" s="32"/>
      <c r="AA492" s="30"/>
      <c r="AB492" s="30"/>
      <c r="AF492" s="48"/>
      <c r="AG492" s="27"/>
      <c r="AH492" s="27"/>
      <c r="AI492" s="6"/>
      <c r="AJ492" s="30"/>
    </row>
    <row r="493" spans="7:36" x14ac:dyDescent="0.3">
      <c r="G493" s="46"/>
      <c r="H493" s="39"/>
      <c r="N493" s="30"/>
      <c r="Q493" s="30"/>
      <c r="T493" s="35"/>
      <c r="Z493" s="32"/>
      <c r="AA493" s="30"/>
      <c r="AB493" s="30"/>
      <c r="AF493" s="48"/>
      <c r="AG493" s="27"/>
      <c r="AH493" s="27"/>
      <c r="AI493" s="6"/>
      <c r="AJ493" s="30"/>
    </row>
    <row r="494" spans="7:36" x14ac:dyDescent="0.3">
      <c r="G494" s="46"/>
      <c r="H494" s="39"/>
      <c r="N494" s="30"/>
      <c r="Q494" s="30"/>
      <c r="T494" s="35"/>
      <c r="Z494" s="32"/>
      <c r="AA494" s="30"/>
      <c r="AB494" s="30"/>
      <c r="AF494" s="48"/>
      <c r="AG494" s="27"/>
      <c r="AH494" s="27"/>
      <c r="AI494" s="6"/>
      <c r="AJ494" s="30"/>
    </row>
    <row r="495" spans="7:36" x14ac:dyDescent="0.3">
      <c r="G495" s="46"/>
      <c r="H495" s="39"/>
      <c r="N495" s="30"/>
      <c r="Q495" s="30"/>
      <c r="T495" s="35"/>
      <c r="Z495" s="32"/>
      <c r="AA495" s="30"/>
      <c r="AB495" s="30"/>
      <c r="AF495" s="48"/>
      <c r="AG495" s="27"/>
      <c r="AH495" s="27"/>
      <c r="AI495" s="6"/>
      <c r="AJ495" s="30"/>
    </row>
    <row r="496" spans="7:36" x14ac:dyDescent="0.3">
      <c r="G496" s="46"/>
      <c r="H496" s="39"/>
      <c r="N496" s="30"/>
      <c r="Q496" s="30"/>
      <c r="T496" s="35"/>
      <c r="Z496" s="32"/>
      <c r="AA496" s="30"/>
      <c r="AB496" s="30"/>
      <c r="AF496" s="48"/>
      <c r="AG496" s="27"/>
      <c r="AH496" s="27"/>
      <c r="AI496" s="6"/>
      <c r="AJ496" s="30"/>
    </row>
    <row r="497" spans="7:36" x14ac:dyDescent="0.3">
      <c r="G497" s="46"/>
      <c r="H497" s="39"/>
      <c r="N497" s="30"/>
      <c r="Q497" s="30"/>
      <c r="T497" s="35"/>
      <c r="Z497" s="32"/>
      <c r="AA497" s="30"/>
      <c r="AB497" s="30"/>
      <c r="AF497" s="48"/>
      <c r="AG497" s="27"/>
      <c r="AH497" s="27"/>
      <c r="AI497" s="6"/>
      <c r="AJ497" s="30"/>
    </row>
    <row r="498" spans="7:36" x14ac:dyDescent="0.3">
      <c r="G498" s="46"/>
      <c r="H498" s="39"/>
      <c r="N498" s="30"/>
      <c r="Q498" s="30"/>
      <c r="T498" s="35"/>
      <c r="Z498" s="32"/>
      <c r="AA498" s="30"/>
      <c r="AB498" s="30"/>
      <c r="AF498" s="48"/>
      <c r="AG498" s="27"/>
      <c r="AH498" s="27"/>
      <c r="AI498" s="6"/>
      <c r="AJ498" s="30"/>
    </row>
    <row r="499" spans="7:36" x14ac:dyDescent="0.3">
      <c r="G499" s="46"/>
      <c r="H499" s="39"/>
      <c r="N499" s="30"/>
      <c r="Q499" s="30"/>
      <c r="T499" s="35"/>
      <c r="Z499" s="32"/>
      <c r="AA499" s="30"/>
      <c r="AB499" s="30"/>
      <c r="AF499" s="48"/>
      <c r="AG499" s="27"/>
      <c r="AH499" s="27"/>
      <c r="AI499" s="6"/>
      <c r="AJ499" s="30"/>
    </row>
    <row r="500" spans="7:36" x14ac:dyDescent="0.3">
      <c r="G500" s="46"/>
      <c r="H500" s="39"/>
      <c r="N500" s="30"/>
      <c r="Q500" s="30"/>
      <c r="T500" s="35"/>
      <c r="Z500" s="32"/>
      <c r="AA500" s="30"/>
      <c r="AB500" s="30"/>
      <c r="AF500" s="48"/>
      <c r="AG500" s="27"/>
      <c r="AH500" s="27"/>
      <c r="AI500" s="6"/>
      <c r="AJ500" s="30"/>
    </row>
    <row r="501" spans="7:36" x14ac:dyDescent="0.3">
      <c r="G501" s="46"/>
      <c r="H501" s="39"/>
      <c r="N501" s="30"/>
      <c r="Q501" s="30"/>
      <c r="T501" s="35"/>
      <c r="Z501" s="32"/>
      <c r="AA501" s="30"/>
      <c r="AB501" s="30"/>
      <c r="AF501" s="48"/>
      <c r="AG501" s="27"/>
      <c r="AH501" s="27"/>
      <c r="AI501" s="6"/>
      <c r="AJ501" s="30"/>
    </row>
    <row r="502" spans="7:36" x14ac:dyDescent="0.3">
      <c r="G502" s="46"/>
      <c r="H502" s="39"/>
      <c r="N502" s="30"/>
      <c r="Q502" s="30"/>
      <c r="T502" s="35"/>
      <c r="Z502" s="32"/>
      <c r="AA502" s="30"/>
      <c r="AB502" s="30"/>
      <c r="AF502" s="48"/>
      <c r="AG502" s="27"/>
      <c r="AH502" s="27"/>
      <c r="AI502" s="6"/>
      <c r="AJ502" s="30"/>
    </row>
    <row r="503" spans="7:36" x14ac:dyDescent="0.3">
      <c r="G503" s="46"/>
      <c r="H503" s="39"/>
      <c r="N503" s="30"/>
      <c r="Q503" s="30"/>
      <c r="T503" s="35"/>
      <c r="Z503" s="32"/>
      <c r="AA503" s="30"/>
      <c r="AB503" s="30"/>
      <c r="AF503" s="48"/>
      <c r="AG503" s="27"/>
      <c r="AH503" s="27"/>
      <c r="AI503" s="6"/>
      <c r="AJ503" s="30"/>
    </row>
    <row r="504" spans="7:36" x14ac:dyDescent="0.3">
      <c r="G504" s="46"/>
      <c r="H504" s="39"/>
      <c r="N504" s="30"/>
      <c r="Q504" s="30"/>
      <c r="T504" s="35"/>
      <c r="Z504" s="32"/>
      <c r="AA504" s="30"/>
      <c r="AB504" s="30"/>
      <c r="AF504" s="48"/>
      <c r="AG504" s="27"/>
      <c r="AH504" s="27"/>
      <c r="AI504" s="6"/>
      <c r="AJ504" s="30"/>
    </row>
    <row r="505" spans="7:36" x14ac:dyDescent="0.3">
      <c r="G505" s="46"/>
      <c r="H505" s="39"/>
      <c r="N505" s="30"/>
      <c r="Q505" s="30"/>
      <c r="T505" s="35"/>
      <c r="Z505" s="32"/>
      <c r="AA505" s="30"/>
      <c r="AB505" s="30"/>
      <c r="AF505" s="48"/>
      <c r="AG505" s="27"/>
      <c r="AH505" s="27"/>
      <c r="AI505" s="6"/>
      <c r="AJ505" s="30"/>
    </row>
    <row r="506" spans="7:36" x14ac:dyDescent="0.3">
      <c r="G506" s="46"/>
      <c r="H506" s="39"/>
      <c r="N506" s="30"/>
      <c r="Q506" s="30"/>
      <c r="T506" s="35"/>
      <c r="Z506" s="32"/>
      <c r="AA506" s="30"/>
      <c r="AB506" s="30"/>
      <c r="AF506" s="48"/>
      <c r="AG506" s="27"/>
      <c r="AH506" s="27"/>
      <c r="AI506" s="6"/>
      <c r="AJ506" s="30"/>
    </row>
    <row r="507" spans="7:36" x14ac:dyDescent="0.3">
      <c r="G507" s="46"/>
      <c r="H507" s="39"/>
      <c r="N507" s="30"/>
      <c r="Q507" s="30"/>
      <c r="T507" s="35"/>
      <c r="Z507" s="32"/>
      <c r="AA507" s="30"/>
      <c r="AB507" s="30"/>
      <c r="AF507" s="48"/>
      <c r="AG507" s="27"/>
      <c r="AH507" s="27"/>
      <c r="AI507" s="6"/>
      <c r="AJ507" s="30"/>
    </row>
    <row r="508" spans="7:36" x14ac:dyDescent="0.3">
      <c r="G508" s="46"/>
      <c r="H508" s="39"/>
      <c r="N508" s="30"/>
      <c r="Q508" s="30"/>
      <c r="T508" s="35"/>
      <c r="Z508" s="32"/>
      <c r="AA508" s="30"/>
      <c r="AB508" s="30"/>
      <c r="AF508" s="48"/>
      <c r="AG508" s="27"/>
      <c r="AH508" s="27"/>
      <c r="AI508" s="6"/>
      <c r="AJ508" s="30"/>
    </row>
    <row r="509" spans="7:36" x14ac:dyDescent="0.3">
      <c r="G509" s="46"/>
      <c r="H509" s="39"/>
      <c r="N509" s="30"/>
      <c r="Q509" s="30"/>
      <c r="T509" s="35"/>
      <c r="Z509" s="32"/>
      <c r="AA509" s="30"/>
      <c r="AB509" s="30"/>
      <c r="AF509" s="48"/>
      <c r="AG509" s="27"/>
      <c r="AH509" s="27"/>
      <c r="AI509" s="6"/>
      <c r="AJ509" s="30"/>
    </row>
    <row r="510" spans="7:36" x14ac:dyDescent="0.3">
      <c r="G510" s="46"/>
      <c r="H510" s="39"/>
      <c r="N510" s="30"/>
      <c r="Q510" s="30"/>
      <c r="T510" s="35"/>
      <c r="Z510" s="32"/>
      <c r="AA510" s="30"/>
      <c r="AB510" s="30"/>
      <c r="AF510" s="48"/>
      <c r="AG510" s="27"/>
      <c r="AH510" s="27"/>
      <c r="AI510" s="6"/>
      <c r="AJ510" s="30"/>
    </row>
    <row r="511" spans="7:36" x14ac:dyDescent="0.3">
      <c r="G511" s="46"/>
      <c r="H511" s="39"/>
      <c r="N511" s="30"/>
      <c r="Q511" s="30"/>
      <c r="T511" s="35"/>
      <c r="Z511" s="32"/>
      <c r="AA511" s="30"/>
      <c r="AB511" s="30"/>
      <c r="AF511" s="48"/>
      <c r="AG511" s="27"/>
      <c r="AH511" s="27"/>
      <c r="AI511" s="6"/>
      <c r="AJ511" s="30"/>
    </row>
    <row r="512" spans="7:36" x14ac:dyDescent="0.3">
      <c r="G512" s="46"/>
      <c r="H512" s="39"/>
      <c r="N512" s="30"/>
      <c r="Q512" s="30"/>
      <c r="T512" s="35"/>
      <c r="Z512" s="32"/>
      <c r="AA512" s="30"/>
      <c r="AB512" s="30"/>
      <c r="AF512" s="48"/>
      <c r="AG512" s="27"/>
      <c r="AH512" s="27"/>
      <c r="AI512" s="6"/>
      <c r="AJ512" s="30"/>
    </row>
    <row r="513" spans="7:36" x14ac:dyDescent="0.3">
      <c r="G513" s="46"/>
      <c r="H513" s="39"/>
      <c r="N513" s="30"/>
      <c r="Q513" s="30"/>
      <c r="T513" s="35"/>
      <c r="Z513" s="32"/>
      <c r="AA513" s="30"/>
      <c r="AB513" s="30"/>
      <c r="AF513" s="48"/>
      <c r="AG513" s="27"/>
      <c r="AH513" s="27"/>
      <c r="AI513" s="6"/>
      <c r="AJ513" s="30"/>
    </row>
    <row r="514" spans="7:36" x14ac:dyDescent="0.3">
      <c r="G514" s="46"/>
      <c r="H514" s="39"/>
      <c r="N514" s="30"/>
      <c r="Q514" s="30"/>
      <c r="T514" s="35"/>
      <c r="Z514" s="32"/>
      <c r="AA514" s="30"/>
      <c r="AB514" s="30"/>
      <c r="AF514" s="48"/>
      <c r="AG514" s="27"/>
      <c r="AH514" s="27"/>
      <c r="AI514" s="6"/>
      <c r="AJ514" s="30"/>
    </row>
    <row r="515" spans="7:36" x14ac:dyDescent="0.3">
      <c r="G515" s="46"/>
      <c r="H515" s="39"/>
      <c r="N515" s="30"/>
      <c r="Q515" s="30"/>
      <c r="T515" s="35"/>
      <c r="Z515" s="32"/>
      <c r="AA515" s="30"/>
      <c r="AB515" s="30"/>
      <c r="AF515" s="48"/>
      <c r="AG515" s="27"/>
      <c r="AH515" s="27"/>
      <c r="AI515" s="6"/>
      <c r="AJ515" s="30"/>
    </row>
    <row r="516" spans="7:36" x14ac:dyDescent="0.3">
      <c r="G516" s="46"/>
      <c r="H516" s="39"/>
      <c r="N516" s="30"/>
      <c r="Q516" s="30"/>
      <c r="T516" s="35"/>
      <c r="Z516" s="32"/>
      <c r="AA516" s="30"/>
      <c r="AB516" s="30"/>
      <c r="AF516" s="48"/>
      <c r="AG516" s="27"/>
      <c r="AH516" s="27"/>
      <c r="AI516" s="6"/>
      <c r="AJ516" s="30"/>
    </row>
    <row r="517" spans="7:36" x14ac:dyDescent="0.3">
      <c r="G517" s="46"/>
      <c r="H517" s="39"/>
      <c r="N517" s="30"/>
      <c r="Q517" s="30"/>
      <c r="T517" s="35"/>
      <c r="Z517" s="32"/>
      <c r="AA517" s="30"/>
      <c r="AB517" s="30"/>
      <c r="AF517" s="48"/>
      <c r="AG517" s="27"/>
      <c r="AH517" s="27"/>
      <c r="AI517" s="6"/>
      <c r="AJ517" s="30"/>
    </row>
    <row r="518" spans="7:36" x14ac:dyDescent="0.3">
      <c r="G518" s="46"/>
      <c r="H518" s="39"/>
      <c r="N518" s="30"/>
      <c r="Q518" s="30"/>
      <c r="T518" s="35"/>
      <c r="Z518" s="32"/>
      <c r="AA518" s="30"/>
      <c r="AB518" s="30"/>
      <c r="AF518" s="48"/>
      <c r="AG518" s="27"/>
      <c r="AH518" s="27"/>
      <c r="AI518" s="6"/>
      <c r="AJ518" s="30"/>
    </row>
    <row r="519" spans="7:36" x14ac:dyDescent="0.3">
      <c r="G519" s="46"/>
      <c r="H519" s="39"/>
      <c r="N519" s="30"/>
      <c r="Q519" s="30"/>
      <c r="T519" s="35"/>
      <c r="Z519" s="32"/>
      <c r="AA519" s="30"/>
      <c r="AB519" s="30"/>
      <c r="AF519" s="48"/>
      <c r="AG519" s="27"/>
      <c r="AH519" s="27"/>
      <c r="AI519" s="6"/>
      <c r="AJ519" s="30"/>
    </row>
    <row r="520" spans="7:36" x14ac:dyDescent="0.3">
      <c r="G520" s="46"/>
      <c r="H520" s="39"/>
      <c r="N520" s="30"/>
      <c r="Q520" s="30"/>
      <c r="T520" s="35"/>
      <c r="Z520" s="32"/>
      <c r="AA520" s="30"/>
      <c r="AB520" s="30"/>
      <c r="AF520" s="48"/>
      <c r="AG520" s="27"/>
      <c r="AH520" s="27"/>
      <c r="AI520" s="6"/>
      <c r="AJ520" s="30"/>
    </row>
    <row r="521" spans="7:36" x14ac:dyDescent="0.3">
      <c r="G521" s="46"/>
      <c r="H521" s="39"/>
      <c r="N521" s="30"/>
      <c r="Q521" s="30"/>
      <c r="T521" s="35"/>
      <c r="Z521" s="32"/>
      <c r="AA521" s="30"/>
      <c r="AB521" s="30"/>
      <c r="AF521" s="48"/>
      <c r="AG521" s="27"/>
      <c r="AH521" s="27"/>
      <c r="AI521" s="6"/>
      <c r="AJ521" s="30"/>
    </row>
    <row r="522" spans="7:36" x14ac:dyDescent="0.3">
      <c r="G522" s="46"/>
      <c r="H522" s="39"/>
      <c r="N522" s="30"/>
      <c r="Q522" s="30"/>
      <c r="T522" s="35"/>
      <c r="Z522" s="32"/>
      <c r="AA522" s="30"/>
      <c r="AB522" s="30"/>
      <c r="AF522" s="48"/>
      <c r="AG522" s="27"/>
      <c r="AH522" s="27"/>
      <c r="AI522" s="6"/>
      <c r="AJ522" s="30"/>
    </row>
    <row r="523" spans="7:36" x14ac:dyDescent="0.3">
      <c r="G523" s="46"/>
      <c r="H523" s="39"/>
      <c r="N523" s="30"/>
      <c r="Q523" s="30"/>
      <c r="T523" s="35"/>
      <c r="Z523" s="32"/>
      <c r="AA523" s="30"/>
      <c r="AB523" s="30"/>
      <c r="AF523" s="48"/>
      <c r="AG523" s="27"/>
      <c r="AH523" s="27"/>
      <c r="AI523" s="6"/>
      <c r="AJ523" s="30"/>
    </row>
    <row r="524" spans="7:36" x14ac:dyDescent="0.3">
      <c r="G524" s="46"/>
      <c r="H524" s="39"/>
      <c r="N524" s="30"/>
      <c r="Q524" s="30"/>
      <c r="T524" s="35"/>
      <c r="Z524" s="32"/>
      <c r="AA524" s="30"/>
      <c r="AB524" s="30"/>
      <c r="AF524" s="48"/>
      <c r="AG524" s="27"/>
      <c r="AH524" s="27"/>
      <c r="AI524" s="6"/>
      <c r="AJ524" s="30"/>
    </row>
    <row r="525" spans="7:36" x14ac:dyDescent="0.3">
      <c r="G525" s="46"/>
      <c r="H525" s="39"/>
      <c r="N525" s="30"/>
      <c r="Q525" s="30"/>
      <c r="T525" s="35"/>
      <c r="Z525" s="32"/>
      <c r="AA525" s="30"/>
      <c r="AB525" s="30"/>
      <c r="AF525" s="48"/>
      <c r="AG525" s="27"/>
      <c r="AH525" s="27"/>
      <c r="AI525" s="6"/>
      <c r="AJ525" s="30"/>
    </row>
    <row r="526" spans="7:36" x14ac:dyDescent="0.3">
      <c r="G526" s="46"/>
      <c r="H526" s="39"/>
      <c r="N526" s="30"/>
      <c r="Q526" s="30"/>
      <c r="T526" s="35"/>
      <c r="Z526" s="32"/>
      <c r="AA526" s="30"/>
      <c r="AB526" s="30"/>
      <c r="AF526" s="48"/>
      <c r="AG526" s="27"/>
      <c r="AH526" s="27"/>
      <c r="AI526" s="6"/>
      <c r="AJ526" s="30"/>
    </row>
    <row r="527" spans="7:36" x14ac:dyDescent="0.3">
      <c r="G527" s="46"/>
      <c r="H527" s="39"/>
      <c r="N527" s="30"/>
      <c r="Q527" s="30"/>
      <c r="T527" s="35"/>
      <c r="Z527" s="32"/>
      <c r="AA527" s="30"/>
      <c r="AB527" s="30"/>
      <c r="AF527" s="48"/>
      <c r="AG527" s="27"/>
      <c r="AH527" s="27"/>
      <c r="AI527" s="6"/>
      <c r="AJ527" s="30"/>
    </row>
    <row r="528" spans="7:36" x14ac:dyDescent="0.3">
      <c r="G528" s="46"/>
      <c r="H528" s="39"/>
      <c r="N528" s="30"/>
      <c r="Q528" s="30"/>
      <c r="T528" s="35"/>
      <c r="Z528" s="32"/>
      <c r="AA528" s="30"/>
      <c r="AB528" s="30"/>
      <c r="AF528" s="48"/>
      <c r="AG528" s="27"/>
      <c r="AH528" s="27"/>
      <c r="AI528" s="6"/>
      <c r="AJ528" s="30"/>
    </row>
    <row r="529" spans="7:36" x14ac:dyDescent="0.3">
      <c r="G529" s="46"/>
      <c r="H529" s="39"/>
      <c r="N529" s="30"/>
      <c r="Q529" s="30"/>
      <c r="T529" s="35"/>
      <c r="Z529" s="32"/>
      <c r="AA529" s="30"/>
      <c r="AB529" s="30"/>
      <c r="AF529" s="48"/>
      <c r="AG529" s="27"/>
      <c r="AH529" s="27"/>
      <c r="AI529" s="6"/>
      <c r="AJ529" s="30"/>
    </row>
    <row r="530" spans="7:36" x14ac:dyDescent="0.3">
      <c r="G530" s="46"/>
      <c r="H530" s="39"/>
      <c r="N530" s="30"/>
      <c r="Q530" s="30"/>
      <c r="T530" s="35"/>
      <c r="Z530" s="32"/>
      <c r="AA530" s="30"/>
      <c r="AB530" s="30"/>
      <c r="AF530" s="48"/>
      <c r="AG530" s="27"/>
      <c r="AH530" s="27"/>
      <c r="AI530" s="6"/>
      <c r="AJ530" s="30"/>
    </row>
    <row r="531" spans="7:36" x14ac:dyDescent="0.3">
      <c r="G531" s="46"/>
      <c r="H531" s="39"/>
      <c r="N531" s="30"/>
      <c r="Q531" s="30"/>
      <c r="T531" s="35"/>
      <c r="Z531" s="32"/>
      <c r="AA531" s="30"/>
      <c r="AB531" s="30"/>
      <c r="AF531" s="48"/>
      <c r="AG531" s="27"/>
      <c r="AH531" s="27"/>
      <c r="AI531" s="6"/>
      <c r="AJ531" s="30"/>
    </row>
    <row r="532" spans="7:36" x14ac:dyDescent="0.3">
      <c r="G532" s="46"/>
      <c r="H532" s="39"/>
      <c r="N532" s="30"/>
      <c r="Q532" s="30"/>
      <c r="T532" s="35"/>
      <c r="Z532" s="32"/>
      <c r="AA532" s="30"/>
      <c r="AB532" s="30"/>
      <c r="AF532" s="48"/>
      <c r="AG532" s="27"/>
      <c r="AH532" s="27"/>
      <c r="AI532" s="6"/>
      <c r="AJ532" s="30"/>
    </row>
    <row r="533" spans="7:36" x14ac:dyDescent="0.3">
      <c r="G533" s="46"/>
      <c r="H533" s="39"/>
      <c r="N533" s="30"/>
      <c r="Q533" s="30"/>
      <c r="T533" s="35"/>
      <c r="Z533" s="32"/>
      <c r="AA533" s="30"/>
      <c r="AB533" s="30"/>
      <c r="AF533" s="48"/>
      <c r="AG533" s="27"/>
      <c r="AH533" s="27"/>
      <c r="AI533" s="6"/>
      <c r="AJ533" s="30"/>
    </row>
    <row r="534" spans="7:36" x14ac:dyDescent="0.3">
      <c r="G534" s="46"/>
      <c r="H534" s="39"/>
      <c r="N534" s="30"/>
      <c r="Q534" s="30"/>
      <c r="T534" s="35"/>
      <c r="Z534" s="32"/>
      <c r="AA534" s="30"/>
      <c r="AB534" s="30"/>
      <c r="AF534" s="48"/>
      <c r="AG534" s="27"/>
      <c r="AH534" s="27"/>
      <c r="AI534" s="6"/>
      <c r="AJ534" s="30"/>
    </row>
    <row r="535" spans="7:36" x14ac:dyDescent="0.3">
      <c r="G535" s="46"/>
      <c r="H535" s="39"/>
      <c r="N535" s="30"/>
      <c r="Q535" s="30"/>
      <c r="T535" s="35"/>
      <c r="Z535" s="32"/>
      <c r="AA535" s="30"/>
      <c r="AB535" s="30"/>
      <c r="AF535" s="48"/>
      <c r="AG535" s="27"/>
      <c r="AH535" s="27"/>
      <c r="AI535" s="6"/>
      <c r="AJ535" s="30"/>
    </row>
    <row r="536" spans="7:36" x14ac:dyDescent="0.3">
      <c r="G536" s="46"/>
      <c r="H536" s="39"/>
      <c r="N536" s="30"/>
      <c r="Q536" s="30"/>
      <c r="T536" s="35"/>
      <c r="Z536" s="32"/>
      <c r="AA536" s="30"/>
      <c r="AB536" s="30"/>
      <c r="AF536" s="48"/>
      <c r="AG536" s="27"/>
      <c r="AH536" s="27"/>
      <c r="AI536" s="6"/>
      <c r="AJ536" s="30"/>
    </row>
    <row r="537" spans="7:36" x14ac:dyDescent="0.3">
      <c r="G537" s="46"/>
      <c r="H537" s="39"/>
      <c r="N537" s="30"/>
      <c r="Q537" s="30"/>
      <c r="T537" s="35"/>
      <c r="Z537" s="32"/>
      <c r="AA537" s="30"/>
      <c r="AB537" s="30"/>
      <c r="AF537" s="48"/>
      <c r="AG537" s="27"/>
      <c r="AH537" s="27"/>
      <c r="AI537" s="6"/>
      <c r="AJ537" s="30"/>
    </row>
    <row r="538" spans="7:36" x14ac:dyDescent="0.3">
      <c r="G538" s="46"/>
      <c r="H538" s="39"/>
      <c r="N538" s="30"/>
      <c r="Q538" s="30"/>
      <c r="T538" s="35"/>
      <c r="Z538" s="32"/>
      <c r="AA538" s="30"/>
      <c r="AB538" s="30"/>
      <c r="AF538" s="48"/>
      <c r="AG538" s="27"/>
      <c r="AH538" s="27"/>
      <c r="AI538" s="6"/>
      <c r="AJ538" s="30"/>
    </row>
    <row r="539" spans="7:36" x14ac:dyDescent="0.3">
      <c r="G539" s="46"/>
      <c r="H539" s="39"/>
      <c r="N539" s="30"/>
      <c r="Q539" s="30"/>
      <c r="T539" s="35"/>
      <c r="Z539" s="32"/>
      <c r="AA539" s="30"/>
      <c r="AB539" s="30"/>
      <c r="AF539" s="48"/>
      <c r="AG539" s="27"/>
      <c r="AH539" s="27"/>
      <c r="AI539" s="6"/>
      <c r="AJ539" s="30"/>
    </row>
    <row r="540" spans="7:36" x14ac:dyDescent="0.3">
      <c r="G540" s="46"/>
      <c r="H540" s="39"/>
      <c r="N540" s="30"/>
      <c r="Q540" s="30"/>
      <c r="T540" s="35"/>
      <c r="Z540" s="32"/>
      <c r="AA540" s="30"/>
      <c r="AB540" s="30"/>
      <c r="AF540" s="48"/>
      <c r="AG540" s="27"/>
      <c r="AH540" s="27"/>
      <c r="AI540" s="6"/>
      <c r="AJ540" s="30"/>
    </row>
    <row r="541" spans="7:36" x14ac:dyDescent="0.3">
      <c r="G541" s="46"/>
      <c r="H541" s="39"/>
      <c r="N541" s="30"/>
      <c r="Q541" s="30"/>
      <c r="T541" s="35"/>
      <c r="Z541" s="32"/>
      <c r="AA541" s="30"/>
      <c r="AB541" s="30"/>
      <c r="AF541" s="48"/>
      <c r="AG541" s="27"/>
      <c r="AH541" s="27"/>
      <c r="AI541" s="6"/>
      <c r="AJ541" s="30"/>
    </row>
    <row r="542" spans="7:36" x14ac:dyDescent="0.3">
      <c r="G542" s="46"/>
      <c r="H542" s="39"/>
      <c r="N542" s="30"/>
      <c r="Q542" s="30"/>
      <c r="T542" s="35"/>
      <c r="Z542" s="32"/>
      <c r="AA542" s="30"/>
      <c r="AB542" s="30"/>
      <c r="AF542" s="48"/>
      <c r="AG542" s="27"/>
      <c r="AH542" s="27"/>
      <c r="AI542" s="6"/>
      <c r="AJ542" s="30"/>
    </row>
    <row r="543" spans="7:36" x14ac:dyDescent="0.3">
      <c r="G543" s="46"/>
      <c r="H543" s="39"/>
      <c r="N543" s="30"/>
      <c r="Q543" s="30"/>
      <c r="T543" s="35"/>
      <c r="Z543" s="32"/>
      <c r="AA543" s="30"/>
      <c r="AB543" s="30"/>
      <c r="AF543" s="48"/>
      <c r="AG543" s="27"/>
      <c r="AH543" s="27"/>
      <c r="AI543" s="6"/>
      <c r="AJ543" s="30"/>
    </row>
    <row r="544" spans="7:36" x14ac:dyDescent="0.3">
      <c r="G544" s="46"/>
      <c r="H544" s="39"/>
      <c r="N544" s="30"/>
      <c r="Q544" s="30"/>
      <c r="T544" s="35"/>
      <c r="Z544" s="32"/>
      <c r="AA544" s="30"/>
      <c r="AB544" s="30"/>
      <c r="AF544" s="48"/>
      <c r="AG544" s="27"/>
      <c r="AH544" s="27"/>
      <c r="AI544" s="6"/>
      <c r="AJ544" s="30"/>
    </row>
    <row r="545" spans="7:36" x14ac:dyDescent="0.3">
      <c r="G545" s="46"/>
      <c r="H545" s="39"/>
      <c r="N545" s="30"/>
      <c r="Q545" s="30"/>
      <c r="T545" s="35"/>
      <c r="Z545" s="32"/>
      <c r="AA545" s="30"/>
      <c r="AB545" s="30"/>
      <c r="AF545" s="48"/>
      <c r="AG545" s="27"/>
      <c r="AH545" s="27"/>
      <c r="AI545" s="6"/>
      <c r="AJ545" s="30"/>
    </row>
    <row r="546" spans="7:36" x14ac:dyDescent="0.3">
      <c r="G546" s="46"/>
      <c r="H546" s="39"/>
      <c r="N546" s="30"/>
      <c r="Q546" s="30"/>
      <c r="T546" s="35"/>
      <c r="Z546" s="32"/>
      <c r="AA546" s="30"/>
      <c r="AB546" s="30"/>
      <c r="AF546" s="48"/>
      <c r="AG546" s="27"/>
      <c r="AH546" s="27"/>
      <c r="AI546" s="6"/>
      <c r="AJ546" s="30"/>
    </row>
    <row r="547" spans="7:36" x14ac:dyDescent="0.3">
      <c r="G547" s="46"/>
      <c r="H547" s="39"/>
      <c r="N547" s="30"/>
      <c r="Q547" s="30"/>
      <c r="T547" s="35"/>
      <c r="Z547" s="32"/>
      <c r="AA547" s="30"/>
      <c r="AB547" s="30"/>
      <c r="AF547" s="48"/>
      <c r="AG547" s="27"/>
      <c r="AH547" s="27"/>
      <c r="AI547" s="6"/>
      <c r="AJ547" s="30"/>
    </row>
    <row r="548" spans="7:36" x14ac:dyDescent="0.3">
      <c r="G548" s="46"/>
      <c r="H548" s="39"/>
      <c r="N548" s="30"/>
      <c r="Q548" s="30"/>
      <c r="T548" s="35"/>
      <c r="Z548" s="32"/>
      <c r="AA548" s="30"/>
      <c r="AB548" s="30"/>
      <c r="AF548" s="48"/>
      <c r="AG548" s="27"/>
      <c r="AH548" s="27"/>
      <c r="AI548" s="6"/>
      <c r="AJ548" s="30"/>
    </row>
    <row r="549" spans="7:36" x14ac:dyDescent="0.3">
      <c r="G549" s="46"/>
      <c r="H549" s="39"/>
      <c r="N549" s="30"/>
      <c r="Q549" s="30"/>
      <c r="T549" s="35"/>
      <c r="Z549" s="32"/>
      <c r="AA549" s="30"/>
      <c r="AB549" s="30"/>
      <c r="AF549" s="48"/>
      <c r="AG549" s="27"/>
      <c r="AH549" s="27"/>
      <c r="AI549" s="6"/>
      <c r="AJ549" s="30"/>
    </row>
    <row r="550" spans="7:36" x14ac:dyDescent="0.3">
      <c r="G550" s="46"/>
      <c r="H550" s="39"/>
      <c r="N550" s="30"/>
      <c r="Q550" s="30"/>
      <c r="T550" s="35"/>
      <c r="Z550" s="32"/>
      <c r="AA550" s="30"/>
      <c r="AB550" s="30"/>
      <c r="AF550" s="48"/>
      <c r="AG550" s="27"/>
      <c r="AH550" s="27"/>
      <c r="AI550" s="6"/>
      <c r="AJ550" s="30"/>
    </row>
    <row r="551" spans="7:36" x14ac:dyDescent="0.3">
      <c r="G551" s="46"/>
      <c r="H551" s="39"/>
      <c r="N551" s="30"/>
      <c r="Q551" s="30"/>
      <c r="T551" s="35"/>
      <c r="Z551" s="32"/>
      <c r="AA551" s="30"/>
      <c r="AB551" s="30"/>
      <c r="AF551" s="48"/>
      <c r="AG551" s="27"/>
      <c r="AH551" s="27"/>
      <c r="AI551" s="6"/>
      <c r="AJ551" s="30"/>
    </row>
    <row r="552" spans="7:36" x14ac:dyDescent="0.3">
      <c r="G552" s="46"/>
      <c r="H552" s="39"/>
      <c r="N552" s="30"/>
      <c r="Q552" s="30"/>
      <c r="T552" s="35"/>
      <c r="Z552" s="32"/>
      <c r="AA552" s="30"/>
      <c r="AB552" s="30"/>
      <c r="AF552" s="48"/>
      <c r="AG552" s="27"/>
      <c r="AH552" s="27"/>
      <c r="AI552" s="6"/>
      <c r="AJ552" s="30"/>
    </row>
    <row r="553" spans="7:36" x14ac:dyDescent="0.3">
      <c r="G553" s="46"/>
      <c r="H553" s="39"/>
      <c r="N553" s="30"/>
      <c r="Q553" s="30"/>
      <c r="T553" s="35"/>
      <c r="Z553" s="32"/>
      <c r="AA553" s="30"/>
      <c r="AB553" s="30"/>
      <c r="AF553" s="48"/>
      <c r="AG553" s="27"/>
      <c r="AH553" s="27"/>
      <c r="AI553" s="6"/>
      <c r="AJ553" s="30"/>
    </row>
    <row r="554" spans="7:36" x14ac:dyDescent="0.3">
      <c r="G554" s="46"/>
      <c r="H554" s="39"/>
      <c r="N554" s="30"/>
      <c r="Q554" s="30"/>
      <c r="T554" s="35"/>
      <c r="Z554" s="32"/>
      <c r="AA554" s="30"/>
      <c r="AB554" s="30"/>
      <c r="AF554" s="48"/>
      <c r="AG554" s="27"/>
      <c r="AH554" s="27"/>
      <c r="AI554" s="6"/>
      <c r="AJ554" s="30"/>
    </row>
    <row r="555" spans="7:36" x14ac:dyDescent="0.3">
      <c r="G555" s="46"/>
      <c r="H555" s="39"/>
      <c r="N555" s="30"/>
      <c r="Q555" s="30"/>
      <c r="T555" s="35"/>
      <c r="Z555" s="32"/>
      <c r="AA555" s="30"/>
      <c r="AB555" s="30"/>
      <c r="AF555" s="48"/>
      <c r="AG555" s="27"/>
      <c r="AH555" s="27"/>
      <c r="AI555" s="6"/>
      <c r="AJ555" s="30"/>
    </row>
    <row r="556" spans="7:36" x14ac:dyDescent="0.3">
      <c r="G556" s="46"/>
      <c r="H556" s="39"/>
      <c r="N556" s="30"/>
      <c r="Q556" s="30"/>
      <c r="T556" s="35"/>
      <c r="Z556" s="32"/>
      <c r="AA556" s="30"/>
      <c r="AB556" s="30"/>
      <c r="AF556" s="48"/>
      <c r="AG556" s="27"/>
      <c r="AH556" s="27"/>
      <c r="AI556" s="6"/>
      <c r="AJ556" s="30"/>
    </row>
    <row r="557" spans="7:36" x14ac:dyDescent="0.3">
      <c r="G557" s="46"/>
      <c r="H557" s="39"/>
      <c r="N557" s="30"/>
      <c r="Q557" s="30"/>
      <c r="T557" s="35"/>
      <c r="Z557" s="32"/>
      <c r="AA557" s="30"/>
      <c r="AB557" s="30"/>
      <c r="AF557" s="48"/>
      <c r="AG557" s="27"/>
      <c r="AH557" s="27"/>
      <c r="AI557" s="6"/>
      <c r="AJ557" s="30"/>
    </row>
    <row r="558" spans="7:36" x14ac:dyDescent="0.3">
      <c r="G558" s="46"/>
      <c r="H558" s="39"/>
      <c r="N558" s="30"/>
      <c r="Q558" s="30"/>
      <c r="T558" s="35"/>
      <c r="Z558" s="32"/>
      <c r="AA558" s="30"/>
      <c r="AB558" s="30"/>
      <c r="AF558" s="48"/>
      <c r="AG558" s="27"/>
      <c r="AH558" s="27"/>
      <c r="AI558" s="6"/>
      <c r="AJ558" s="30"/>
    </row>
    <row r="559" spans="7:36" x14ac:dyDescent="0.3">
      <c r="G559" s="46"/>
      <c r="H559" s="39"/>
      <c r="N559" s="30"/>
      <c r="Q559" s="30"/>
      <c r="T559" s="35"/>
      <c r="Z559" s="32"/>
      <c r="AA559" s="30"/>
      <c r="AB559" s="30"/>
      <c r="AF559" s="48"/>
      <c r="AG559" s="27"/>
      <c r="AH559" s="27"/>
      <c r="AI559" s="6"/>
      <c r="AJ559" s="30"/>
    </row>
    <row r="560" spans="7:36" x14ac:dyDescent="0.3">
      <c r="G560" s="46"/>
      <c r="H560" s="39"/>
      <c r="N560" s="30"/>
      <c r="Q560" s="30"/>
      <c r="T560" s="35"/>
      <c r="Z560" s="32"/>
      <c r="AA560" s="30"/>
      <c r="AB560" s="30"/>
      <c r="AF560" s="48"/>
      <c r="AG560" s="27"/>
      <c r="AH560" s="27"/>
      <c r="AI560" s="6"/>
      <c r="AJ560" s="30"/>
    </row>
    <row r="561" spans="7:36" x14ac:dyDescent="0.3">
      <c r="G561" s="46"/>
      <c r="H561" s="39"/>
      <c r="N561" s="30"/>
      <c r="Q561" s="30"/>
      <c r="T561" s="35"/>
      <c r="Z561" s="32"/>
      <c r="AA561" s="30"/>
      <c r="AB561" s="30"/>
      <c r="AF561" s="48"/>
      <c r="AG561" s="27"/>
      <c r="AH561" s="27"/>
      <c r="AI561" s="6"/>
      <c r="AJ561" s="30"/>
    </row>
    <row r="562" spans="7:36" x14ac:dyDescent="0.3">
      <c r="G562" s="46"/>
      <c r="H562" s="39"/>
      <c r="N562" s="30"/>
      <c r="Q562" s="30"/>
      <c r="T562" s="35"/>
      <c r="Z562" s="32"/>
      <c r="AA562" s="30"/>
      <c r="AB562" s="30"/>
      <c r="AF562" s="48"/>
      <c r="AG562" s="27"/>
      <c r="AH562" s="27"/>
      <c r="AI562" s="6"/>
      <c r="AJ562" s="30"/>
    </row>
    <row r="563" spans="7:36" x14ac:dyDescent="0.3">
      <c r="G563" s="46"/>
      <c r="H563" s="39"/>
      <c r="N563" s="30"/>
      <c r="Q563" s="30"/>
      <c r="T563" s="35"/>
      <c r="Z563" s="32"/>
      <c r="AA563" s="30"/>
      <c r="AB563" s="30"/>
      <c r="AF563" s="48"/>
      <c r="AG563" s="27"/>
      <c r="AH563" s="27"/>
      <c r="AI563" s="6"/>
      <c r="AJ563" s="30"/>
    </row>
    <row r="564" spans="7:36" x14ac:dyDescent="0.3">
      <c r="G564" s="46"/>
      <c r="H564" s="39"/>
      <c r="N564" s="30"/>
      <c r="Q564" s="30"/>
      <c r="T564" s="35"/>
      <c r="Z564" s="32"/>
      <c r="AA564" s="30"/>
      <c r="AB564" s="30"/>
      <c r="AF564" s="48"/>
      <c r="AG564" s="27"/>
      <c r="AH564" s="27"/>
      <c r="AI564" s="6"/>
      <c r="AJ564" s="30"/>
    </row>
    <row r="565" spans="7:36" x14ac:dyDescent="0.3">
      <c r="G565" s="46"/>
      <c r="H565" s="39"/>
      <c r="N565" s="30"/>
      <c r="Q565" s="30"/>
      <c r="T565" s="35"/>
      <c r="Z565" s="32"/>
      <c r="AA565" s="30"/>
      <c r="AB565" s="30"/>
      <c r="AF565" s="48"/>
      <c r="AG565" s="27"/>
      <c r="AH565" s="27"/>
      <c r="AI565" s="6"/>
      <c r="AJ565" s="30"/>
    </row>
    <row r="566" spans="7:36" x14ac:dyDescent="0.3">
      <c r="G566" s="46"/>
      <c r="H566" s="39"/>
      <c r="N566" s="30"/>
      <c r="Q566" s="30"/>
      <c r="T566" s="35"/>
      <c r="Z566" s="32"/>
      <c r="AA566" s="30"/>
      <c r="AB566" s="30"/>
      <c r="AF566" s="48"/>
      <c r="AG566" s="27"/>
      <c r="AH566" s="27"/>
      <c r="AI566" s="6"/>
      <c r="AJ566" s="30"/>
    </row>
    <row r="567" spans="7:36" x14ac:dyDescent="0.3">
      <c r="G567" s="46"/>
      <c r="H567" s="39"/>
      <c r="N567" s="30"/>
      <c r="Q567" s="30"/>
      <c r="T567" s="35"/>
      <c r="Z567" s="32"/>
      <c r="AA567" s="30"/>
      <c r="AB567" s="30"/>
      <c r="AF567" s="48"/>
      <c r="AG567" s="27"/>
      <c r="AH567" s="27"/>
      <c r="AI567" s="6"/>
      <c r="AJ567" s="30"/>
    </row>
    <row r="568" spans="7:36" x14ac:dyDescent="0.3">
      <c r="G568" s="46"/>
      <c r="H568" s="39"/>
      <c r="N568" s="30"/>
      <c r="Q568" s="30"/>
      <c r="T568" s="35"/>
      <c r="Z568" s="32"/>
      <c r="AA568" s="30"/>
      <c r="AB568" s="30"/>
      <c r="AF568" s="48"/>
      <c r="AG568" s="27"/>
      <c r="AH568" s="27"/>
      <c r="AI568" s="6"/>
      <c r="AJ568" s="30"/>
    </row>
    <row r="569" spans="7:36" x14ac:dyDescent="0.3">
      <c r="G569" s="46"/>
      <c r="H569" s="39"/>
      <c r="N569" s="30"/>
      <c r="Q569" s="30"/>
      <c r="T569" s="35"/>
      <c r="Z569" s="32"/>
      <c r="AA569" s="30"/>
      <c r="AB569" s="30"/>
      <c r="AF569" s="48"/>
      <c r="AG569" s="27"/>
      <c r="AH569" s="27"/>
      <c r="AI569" s="6"/>
      <c r="AJ569" s="30"/>
    </row>
    <row r="570" spans="7:36" x14ac:dyDescent="0.3">
      <c r="G570" s="46"/>
      <c r="H570" s="39"/>
      <c r="N570" s="30"/>
      <c r="Q570" s="30"/>
      <c r="T570" s="35"/>
      <c r="Z570" s="32"/>
      <c r="AA570" s="30"/>
      <c r="AB570" s="30"/>
      <c r="AF570" s="48"/>
      <c r="AG570" s="27"/>
      <c r="AH570" s="27"/>
      <c r="AI570" s="6"/>
      <c r="AJ570" s="30"/>
    </row>
    <row r="571" spans="7:36" x14ac:dyDescent="0.3">
      <c r="G571" s="46"/>
      <c r="H571" s="39"/>
      <c r="N571" s="30"/>
      <c r="Q571" s="30"/>
      <c r="T571" s="35"/>
      <c r="Z571" s="32"/>
      <c r="AA571" s="30"/>
      <c r="AB571" s="30"/>
      <c r="AF571" s="48"/>
      <c r="AG571" s="27"/>
      <c r="AH571" s="27"/>
      <c r="AI571" s="6"/>
      <c r="AJ571" s="30"/>
    </row>
    <row r="572" spans="7:36" x14ac:dyDescent="0.3">
      <c r="G572" s="46"/>
      <c r="H572" s="39"/>
      <c r="N572" s="30"/>
      <c r="Q572" s="30"/>
      <c r="T572" s="35"/>
      <c r="Z572" s="32"/>
      <c r="AA572" s="30"/>
      <c r="AB572" s="30"/>
      <c r="AF572" s="48"/>
      <c r="AG572" s="27"/>
      <c r="AH572" s="27"/>
      <c r="AI572" s="6"/>
      <c r="AJ572" s="30"/>
    </row>
    <row r="573" spans="7:36" x14ac:dyDescent="0.3">
      <c r="G573" s="46"/>
      <c r="H573" s="39"/>
      <c r="N573" s="30"/>
      <c r="Q573" s="30"/>
      <c r="T573" s="35"/>
      <c r="Z573" s="32"/>
      <c r="AA573" s="30"/>
      <c r="AB573" s="30"/>
      <c r="AF573" s="48"/>
      <c r="AG573" s="27"/>
      <c r="AH573" s="27"/>
      <c r="AI573" s="6"/>
      <c r="AJ573" s="30"/>
    </row>
    <row r="574" spans="7:36" x14ac:dyDescent="0.3">
      <c r="G574" s="46"/>
      <c r="H574" s="39"/>
      <c r="N574" s="30"/>
      <c r="Q574" s="30"/>
      <c r="T574" s="35"/>
      <c r="Z574" s="32"/>
      <c r="AA574" s="30"/>
      <c r="AB574" s="30"/>
      <c r="AF574" s="48"/>
      <c r="AG574" s="27"/>
      <c r="AH574" s="27"/>
      <c r="AI574" s="6"/>
      <c r="AJ574" s="30"/>
    </row>
    <row r="575" spans="7:36" x14ac:dyDescent="0.3">
      <c r="G575" s="46"/>
      <c r="H575" s="39"/>
      <c r="N575" s="30"/>
      <c r="Q575" s="30"/>
      <c r="T575" s="35"/>
      <c r="Z575" s="32"/>
      <c r="AA575" s="30"/>
      <c r="AB575" s="30"/>
      <c r="AF575" s="48"/>
      <c r="AG575" s="27"/>
      <c r="AH575" s="27"/>
      <c r="AI575" s="6"/>
      <c r="AJ575" s="30"/>
    </row>
    <row r="576" spans="7:36" x14ac:dyDescent="0.3">
      <c r="G576" s="46"/>
      <c r="H576" s="39"/>
      <c r="N576" s="30"/>
      <c r="Q576" s="30"/>
      <c r="T576" s="35"/>
      <c r="Z576" s="32"/>
      <c r="AA576" s="30"/>
      <c r="AB576" s="30"/>
      <c r="AF576" s="48"/>
      <c r="AG576" s="27"/>
      <c r="AH576" s="27"/>
      <c r="AI576" s="6"/>
      <c r="AJ576" s="30"/>
    </row>
    <row r="577" spans="7:36" x14ac:dyDescent="0.3">
      <c r="G577" s="46"/>
      <c r="H577" s="39"/>
      <c r="N577" s="30"/>
      <c r="Q577" s="30"/>
      <c r="T577" s="35"/>
      <c r="Z577" s="32"/>
      <c r="AA577" s="30"/>
      <c r="AB577" s="30"/>
      <c r="AF577" s="48"/>
      <c r="AG577" s="27"/>
      <c r="AH577" s="27"/>
      <c r="AI577" s="6"/>
      <c r="AJ577" s="30"/>
    </row>
    <row r="578" spans="7:36" x14ac:dyDescent="0.3">
      <c r="G578" s="46"/>
      <c r="H578" s="39"/>
      <c r="N578" s="30"/>
      <c r="Q578" s="30"/>
      <c r="T578" s="35"/>
      <c r="Z578" s="32"/>
      <c r="AA578" s="30"/>
      <c r="AB578" s="30"/>
      <c r="AF578" s="48"/>
      <c r="AG578" s="27"/>
      <c r="AH578" s="27"/>
      <c r="AI578" s="6"/>
      <c r="AJ578" s="30"/>
    </row>
    <row r="579" spans="7:36" x14ac:dyDescent="0.3">
      <c r="G579" s="46"/>
      <c r="H579" s="39"/>
      <c r="N579" s="30"/>
      <c r="Q579" s="30"/>
      <c r="T579" s="35"/>
      <c r="Z579" s="32"/>
      <c r="AA579" s="30"/>
      <c r="AB579" s="30"/>
      <c r="AF579" s="48"/>
      <c r="AG579" s="27"/>
      <c r="AH579" s="27"/>
      <c r="AI579" s="6"/>
      <c r="AJ579" s="30"/>
    </row>
    <row r="580" spans="7:36" x14ac:dyDescent="0.3">
      <c r="G580" s="46"/>
      <c r="H580" s="39"/>
      <c r="N580" s="30"/>
      <c r="Q580" s="30"/>
      <c r="T580" s="35"/>
      <c r="Z580" s="32"/>
      <c r="AA580" s="30"/>
      <c r="AB580" s="30"/>
      <c r="AF580" s="48"/>
      <c r="AG580" s="27"/>
      <c r="AH580" s="27"/>
      <c r="AI580" s="6"/>
      <c r="AJ580" s="30"/>
    </row>
    <row r="581" spans="7:36" x14ac:dyDescent="0.3">
      <c r="G581" s="46"/>
      <c r="H581" s="39"/>
      <c r="N581" s="30"/>
      <c r="Q581" s="30"/>
      <c r="T581" s="35"/>
      <c r="Z581" s="32"/>
      <c r="AA581" s="30"/>
      <c r="AB581" s="30"/>
      <c r="AF581" s="48"/>
      <c r="AG581" s="27"/>
      <c r="AH581" s="27"/>
      <c r="AI581" s="6"/>
      <c r="AJ581" s="30"/>
    </row>
    <row r="582" spans="7:36" x14ac:dyDescent="0.3">
      <c r="G582" s="46"/>
      <c r="H582" s="39"/>
      <c r="N582" s="30"/>
      <c r="Q582" s="30"/>
      <c r="T582" s="35"/>
      <c r="Z582" s="32"/>
      <c r="AA582" s="30"/>
      <c r="AB582" s="30"/>
      <c r="AF582" s="48"/>
      <c r="AG582" s="27"/>
      <c r="AH582" s="27"/>
      <c r="AI582" s="6"/>
      <c r="AJ582" s="30"/>
    </row>
    <row r="583" spans="7:36" x14ac:dyDescent="0.3">
      <c r="G583" s="46"/>
      <c r="H583" s="39"/>
      <c r="N583" s="30"/>
      <c r="Q583" s="30"/>
      <c r="T583" s="35"/>
      <c r="Z583" s="32"/>
      <c r="AA583" s="30"/>
      <c r="AB583" s="30"/>
      <c r="AF583" s="48"/>
      <c r="AG583" s="27"/>
      <c r="AH583" s="27"/>
      <c r="AI583" s="6"/>
      <c r="AJ583" s="30"/>
    </row>
    <row r="584" spans="7:36" x14ac:dyDescent="0.3">
      <c r="G584" s="46"/>
      <c r="H584" s="39"/>
      <c r="N584" s="30"/>
      <c r="Q584" s="30"/>
      <c r="T584" s="35"/>
      <c r="Z584" s="32"/>
      <c r="AA584" s="30"/>
      <c r="AB584" s="30"/>
      <c r="AF584" s="48"/>
      <c r="AG584" s="27"/>
      <c r="AH584" s="27"/>
      <c r="AI584" s="6"/>
      <c r="AJ584" s="30"/>
    </row>
    <row r="585" spans="7:36" x14ac:dyDescent="0.3">
      <c r="G585" s="46"/>
      <c r="H585" s="39"/>
      <c r="N585" s="30"/>
      <c r="Q585" s="30"/>
      <c r="T585" s="35"/>
      <c r="Z585" s="32"/>
      <c r="AA585" s="30"/>
      <c r="AB585" s="30"/>
      <c r="AF585" s="48"/>
      <c r="AG585" s="27"/>
      <c r="AH585" s="27"/>
      <c r="AI585" s="6"/>
      <c r="AJ585" s="30"/>
    </row>
    <row r="586" spans="7:36" x14ac:dyDescent="0.3">
      <c r="G586" s="46"/>
      <c r="H586" s="39"/>
      <c r="N586" s="30"/>
      <c r="Q586" s="30"/>
      <c r="T586" s="35"/>
      <c r="Z586" s="32"/>
      <c r="AA586" s="30"/>
      <c r="AB586" s="30"/>
      <c r="AF586" s="48"/>
      <c r="AG586" s="27"/>
      <c r="AH586" s="27"/>
      <c r="AI586" s="6"/>
      <c r="AJ586" s="30"/>
    </row>
    <row r="587" spans="7:36" x14ac:dyDescent="0.3">
      <c r="G587" s="46"/>
      <c r="H587" s="39"/>
      <c r="N587" s="30"/>
      <c r="Q587" s="30"/>
      <c r="T587" s="35"/>
      <c r="Z587" s="32"/>
      <c r="AA587" s="30"/>
      <c r="AB587" s="30"/>
      <c r="AF587" s="48"/>
      <c r="AG587" s="27"/>
      <c r="AH587" s="27"/>
      <c r="AI587" s="6"/>
      <c r="AJ587" s="30"/>
    </row>
    <row r="588" spans="7:36" x14ac:dyDescent="0.3">
      <c r="G588" s="46"/>
      <c r="H588" s="39"/>
      <c r="N588" s="30"/>
      <c r="Q588" s="30"/>
      <c r="T588" s="35"/>
      <c r="Z588" s="32"/>
      <c r="AA588" s="30"/>
      <c r="AB588" s="30"/>
      <c r="AF588" s="48"/>
      <c r="AG588" s="27"/>
      <c r="AH588" s="27"/>
      <c r="AI588" s="6"/>
      <c r="AJ588" s="30"/>
    </row>
    <row r="589" spans="7:36" x14ac:dyDescent="0.3">
      <c r="G589" s="46"/>
      <c r="H589" s="39"/>
      <c r="N589" s="30"/>
      <c r="Q589" s="30"/>
      <c r="T589" s="35"/>
      <c r="Z589" s="32"/>
      <c r="AA589" s="30"/>
      <c r="AB589" s="30"/>
      <c r="AF589" s="48"/>
      <c r="AG589" s="27"/>
      <c r="AH589" s="27"/>
      <c r="AI589" s="6"/>
      <c r="AJ589" s="30"/>
    </row>
    <row r="590" spans="7:36" x14ac:dyDescent="0.3">
      <c r="G590" s="46"/>
      <c r="H590" s="39"/>
      <c r="N590" s="30"/>
      <c r="Q590" s="30"/>
      <c r="T590" s="35"/>
      <c r="Z590" s="32"/>
      <c r="AA590" s="30"/>
      <c r="AB590" s="30"/>
      <c r="AF590" s="48"/>
      <c r="AG590" s="27"/>
      <c r="AH590" s="27"/>
      <c r="AI590" s="6"/>
      <c r="AJ590" s="30"/>
    </row>
    <row r="591" spans="7:36" x14ac:dyDescent="0.3">
      <c r="G591" s="46"/>
      <c r="H591" s="39"/>
      <c r="N591" s="30"/>
      <c r="Q591" s="30"/>
      <c r="T591" s="35"/>
      <c r="Z591" s="32"/>
      <c r="AA591" s="30"/>
      <c r="AB591" s="30"/>
      <c r="AF591" s="48"/>
      <c r="AG591" s="27"/>
      <c r="AH591" s="27"/>
      <c r="AI591" s="6"/>
      <c r="AJ591" s="30"/>
    </row>
    <row r="592" spans="7:36" x14ac:dyDescent="0.3">
      <c r="G592" s="46"/>
      <c r="H592" s="39"/>
      <c r="N592" s="30"/>
      <c r="Q592" s="30"/>
      <c r="T592" s="35"/>
      <c r="Z592" s="32"/>
      <c r="AA592" s="30"/>
      <c r="AB592" s="30"/>
      <c r="AF592" s="48"/>
      <c r="AG592" s="27"/>
      <c r="AH592" s="27"/>
      <c r="AI592" s="6"/>
      <c r="AJ592" s="30"/>
    </row>
    <row r="593" spans="7:36" x14ac:dyDescent="0.3">
      <c r="G593" s="46"/>
      <c r="H593" s="39"/>
      <c r="N593" s="30"/>
      <c r="Q593" s="30"/>
      <c r="T593" s="35"/>
      <c r="Z593" s="32"/>
      <c r="AA593" s="30"/>
      <c r="AB593" s="30"/>
      <c r="AF593" s="48"/>
      <c r="AG593" s="27"/>
      <c r="AH593" s="27"/>
      <c r="AI593" s="6"/>
      <c r="AJ593" s="30"/>
    </row>
    <row r="594" spans="7:36" x14ac:dyDescent="0.3">
      <c r="G594" s="46"/>
      <c r="H594" s="39"/>
      <c r="N594" s="30"/>
      <c r="Q594" s="30"/>
      <c r="T594" s="35"/>
      <c r="Z594" s="32"/>
      <c r="AA594" s="30"/>
      <c r="AB594" s="30"/>
      <c r="AF594" s="48"/>
      <c r="AG594" s="27"/>
      <c r="AH594" s="27"/>
      <c r="AI594" s="6"/>
      <c r="AJ594" s="30"/>
    </row>
    <row r="595" spans="7:36" x14ac:dyDescent="0.3">
      <c r="G595" s="46"/>
      <c r="H595" s="39"/>
      <c r="N595" s="30"/>
      <c r="Q595" s="30"/>
      <c r="T595" s="35"/>
      <c r="Z595" s="32"/>
      <c r="AA595" s="30"/>
      <c r="AB595" s="30"/>
      <c r="AF595" s="48"/>
      <c r="AG595" s="27"/>
      <c r="AH595" s="27"/>
      <c r="AI595" s="6"/>
      <c r="AJ595" s="30"/>
    </row>
    <row r="596" spans="7:36" x14ac:dyDescent="0.3">
      <c r="G596" s="46"/>
      <c r="H596" s="39"/>
      <c r="N596" s="30"/>
      <c r="Q596" s="30"/>
      <c r="T596" s="35"/>
      <c r="Z596" s="32"/>
      <c r="AA596" s="30"/>
      <c r="AB596" s="30"/>
      <c r="AF596" s="48"/>
      <c r="AG596" s="27"/>
      <c r="AH596" s="27"/>
      <c r="AI596" s="6"/>
      <c r="AJ596" s="30"/>
    </row>
    <row r="597" spans="7:36" x14ac:dyDescent="0.3">
      <c r="G597" s="46"/>
      <c r="H597" s="39"/>
      <c r="N597" s="30"/>
      <c r="Q597" s="30"/>
      <c r="T597" s="35"/>
      <c r="Z597" s="32"/>
      <c r="AA597" s="30"/>
      <c r="AB597" s="30"/>
      <c r="AF597" s="48"/>
      <c r="AG597" s="27"/>
      <c r="AH597" s="27"/>
      <c r="AI597" s="6"/>
      <c r="AJ597" s="30"/>
    </row>
    <row r="598" spans="7:36" x14ac:dyDescent="0.3">
      <c r="G598" s="46"/>
      <c r="H598" s="39"/>
      <c r="N598" s="30"/>
      <c r="Q598" s="30"/>
      <c r="T598" s="35"/>
      <c r="Z598" s="32"/>
      <c r="AA598" s="30"/>
      <c r="AB598" s="30"/>
      <c r="AF598" s="48"/>
      <c r="AG598" s="27"/>
      <c r="AH598" s="27"/>
      <c r="AI598" s="6"/>
      <c r="AJ598" s="30"/>
    </row>
    <row r="599" spans="7:36" x14ac:dyDescent="0.3">
      <c r="G599" s="46"/>
      <c r="H599" s="39"/>
      <c r="N599" s="30"/>
      <c r="Q599" s="30"/>
      <c r="T599" s="35"/>
      <c r="Z599" s="32"/>
      <c r="AA599" s="30"/>
      <c r="AB599" s="30"/>
      <c r="AF599" s="48"/>
      <c r="AG599" s="27"/>
      <c r="AH599" s="27"/>
      <c r="AI599" s="6"/>
      <c r="AJ599" s="30"/>
    </row>
    <row r="600" spans="7:36" x14ac:dyDescent="0.3">
      <c r="G600" s="46"/>
      <c r="H600" s="39"/>
      <c r="N600" s="30"/>
      <c r="Q600" s="30"/>
      <c r="T600" s="35"/>
      <c r="Z600" s="32"/>
      <c r="AA600" s="30"/>
      <c r="AB600" s="30"/>
      <c r="AF600" s="48"/>
      <c r="AG600" s="27"/>
      <c r="AH600" s="27"/>
      <c r="AI600" s="6"/>
      <c r="AJ600" s="30"/>
    </row>
    <row r="601" spans="7:36" x14ac:dyDescent="0.3">
      <c r="G601" s="46"/>
      <c r="H601" s="39"/>
      <c r="N601" s="30"/>
      <c r="Q601" s="30"/>
      <c r="T601" s="35"/>
      <c r="Z601" s="32"/>
      <c r="AA601" s="30"/>
      <c r="AB601" s="30"/>
      <c r="AF601" s="48"/>
      <c r="AG601" s="27"/>
      <c r="AH601" s="27"/>
      <c r="AI601" s="6"/>
      <c r="AJ601" s="30"/>
    </row>
    <row r="602" spans="7:36" x14ac:dyDescent="0.3">
      <c r="G602" s="46"/>
      <c r="H602" s="39"/>
      <c r="N602" s="30"/>
      <c r="Q602" s="30"/>
      <c r="T602" s="35"/>
      <c r="Z602" s="32"/>
      <c r="AA602" s="30"/>
      <c r="AB602" s="30"/>
      <c r="AF602" s="48"/>
      <c r="AG602" s="27"/>
      <c r="AH602" s="27"/>
      <c r="AI602" s="6"/>
      <c r="AJ602" s="30"/>
    </row>
    <row r="603" spans="7:36" x14ac:dyDescent="0.3">
      <c r="G603" s="46"/>
      <c r="H603" s="39"/>
      <c r="N603" s="30"/>
      <c r="Q603" s="30"/>
      <c r="T603" s="35"/>
      <c r="Z603" s="32"/>
      <c r="AA603" s="30"/>
      <c r="AB603" s="30"/>
      <c r="AF603" s="48"/>
      <c r="AG603" s="27"/>
      <c r="AH603" s="27"/>
      <c r="AI603" s="6"/>
      <c r="AJ603" s="30"/>
    </row>
    <row r="604" spans="7:36" x14ac:dyDescent="0.3">
      <c r="G604" s="46"/>
      <c r="H604" s="39"/>
      <c r="N604" s="30"/>
      <c r="Q604" s="30"/>
      <c r="T604" s="35"/>
      <c r="Z604" s="32"/>
      <c r="AA604" s="30"/>
      <c r="AB604" s="30"/>
      <c r="AF604" s="48"/>
      <c r="AG604" s="27"/>
      <c r="AH604" s="27"/>
      <c r="AI604" s="6"/>
      <c r="AJ604" s="30"/>
    </row>
    <row r="605" spans="7:36" x14ac:dyDescent="0.3">
      <c r="G605" s="46"/>
      <c r="H605" s="39"/>
      <c r="N605" s="30"/>
      <c r="Q605" s="30"/>
      <c r="T605" s="35"/>
      <c r="Z605" s="32"/>
      <c r="AA605" s="30"/>
      <c r="AB605" s="30"/>
      <c r="AF605" s="48"/>
      <c r="AG605" s="27"/>
      <c r="AH605" s="27"/>
      <c r="AI605" s="6"/>
      <c r="AJ605" s="30"/>
    </row>
    <row r="606" spans="7:36" x14ac:dyDescent="0.3">
      <c r="G606" s="46"/>
      <c r="H606" s="39"/>
      <c r="N606" s="30"/>
      <c r="Q606" s="30"/>
      <c r="T606" s="35"/>
      <c r="Z606" s="32"/>
      <c r="AA606" s="30"/>
      <c r="AB606" s="30"/>
      <c r="AF606" s="48"/>
      <c r="AG606" s="27"/>
      <c r="AH606" s="27"/>
      <c r="AI606" s="6"/>
      <c r="AJ606" s="30"/>
    </row>
    <row r="607" spans="7:36" x14ac:dyDescent="0.3">
      <c r="G607" s="46"/>
      <c r="H607" s="39"/>
      <c r="N607" s="30"/>
      <c r="Q607" s="30"/>
      <c r="T607" s="35"/>
      <c r="Z607" s="32"/>
      <c r="AA607" s="30"/>
      <c r="AB607" s="30"/>
      <c r="AF607" s="48"/>
      <c r="AG607" s="27"/>
      <c r="AH607" s="27"/>
      <c r="AI607" s="6"/>
      <c r="AJ607" s="30"/>
    </row>
    <row r="608" spans="7:36" x14ac:dyDescent="0.3">
      <c r="G608" s="46"/>
      <c r="H608" s="39"/>
      <c r="N608" s="30"/>
      <c r="Q608" s="30"/>
      <c r="T608" s="35"/>
      <c r="Z608" s="32"/>
      <c r="AA608" s="30"/>
      <c r="AB608" s="30"/>
      <c r="AF608" s="48"/>
      <c r="AG608" s="27"/>
      <c r="AH608" s="27"/>
      <c r="AI608" s="6"/>
      <c r="AJ608" s="30"/>
    </row>
    <row r="609" spans="7:36" x14ac:dyDescent="0.3">
      <c r="G609" s="46"/>
      <c r="H609" s="39"/>
      <c r="N609" s="30"/>
      <c r="Q609" s="30"/>
      <c r="T609" s="35"/>
      <c r="Z609" s="32"/>
      <c r="AA609" s="30"/>
      <c r="AB609" s="30"/>
      <c r="AF609" s="48"/>
      <c r="AG609" s="27"/>
      <c r="AH609" s="27"/>
      <c r="AI609" s="6"/>
      <c r="AJ609" s="30"/>
    </row>
    <row r="610" spans="7:36" x14ac:dyDescent="0.3">
      <c r="G610" s="46"/>
      <c r="H610" s="39"/>
      <c r="N610" s="30"/>
      <c r="Q610" s="30"/>
      <c r="T610" s="35"/>
      <c r="Z610" s="32"/>
      <c r="AA610" s="30"/>
      <c r="AB610" s="30"/>
      <c r="AF610" s="48"/>
      <c r="AG610" s="27"/>
      <c r="AH610" s="27"/>
      <c r="AI610" s="6"/>
      <c r="AJ610" s="30"/>
    </row>
    <row r="611" spans="7:36" x14ac:dyDescent="0.3">
      <c r="G611" s="46"/>
      <c r="H611" s="39"/>
      <c r="N611" s="30"/>
      <c r="Q611" s="30"/>
      <c r="T611" s="35"/>
      <c r="Z611" s="32"/>
      <c r="AA611" s="30"/>
      <c r="AB611" s="30"/>
      <c r="AF611" s="48"/>
      <c r="AG611" s="27"/>
      <c r="AH611" s="27"/>
      <c r="AI611" s="6"/>
      <c r="AJ611" s="30"/>
    </row>
    <row r="612" spans="7:36" x14ac:dyDescent="0.3">
      <c r="G612" s="46"/>
      <c r="H612" s="39"/>
      <c r="N612" s="30"/>
      <c r="Q612" s="30"/>
      <c r="T612" s="35"/>
      <c r="Z612" s="32"/>
      <c r="AA612" s="30"/>
      <c r="AB612" s="30"/>
      <c r="AF612" s="48"/>
      <c r="AG612" s="27"/>
      <c r="AH612" s="27"/>
      <c r="AI612" s="6"/>
      <c r="AJ612" s="30"/>
    </row>
    <row r="613" spans="7:36" x14ac:dyDescent="0.3">
      <c r="G613" s="46"/>
      <c r="H613" s="39"/>
      <c r="N613" s="30"/>
      <c r="Q613" s="30"/>
      <c r="T613" s="35"/>
      <c r="Z613" s="32"/>
      <c r="AA613" s="30"/>
      <c r="AB613" s="30"/>
      <c r="AF613" s="48"/>
      <c r="AG613" s="27"/>
      <c r="AH613" s="27"/>
      <c r="AI613" s="6"/>
      <c r="AJ613" s="30"/>
    </row>
    <row r="614" spans="7:36" x14ac:dyDescent="0.3">
      <c r="G614" s="46"/>
      <c r="H614" s="39"/>
      <c r="N614" s="30"/>
      <c r="Q614" s="30"/>
      <c r="T614" s="35"/>
      <c r="Z614" s="32"/>
      <c r="AA614" s="30"/>
      <c r="AB614" s="30"/>
      <c r="AF614" s="48"/>
      <c r="AG614" s="27"/>
      <c r="AH614" s="27"/>
      <c r="AI614" s="6"/>
      <c r="AJ614" s="30"/>
    </row>
    <row r="615" spans="7:36" x14ac:dyDescent="0.3">
      <c r="G615" s="46"/>
      <c r="H615" s="39"/>
      <c r="N615" s="30"/>
      <c r="Q615" s="30"/>
      <c r="T615" s="35"/>
      <c r="Z615" s="32"/>
      <c r="AA615" s="30"/>
      <c r="AB615" s="30"/>
      <c r="AF615" s="48"/>
      <c r="AG615" s="27"/>
      <c r="AH615" s="27"/>
      <c r="AI615" s="6"/>
      <c r="AJ615" s="30"/>
    </row>
    <row r="616" spans="7:36" x14ac:dyDescent="0.3">
      <c r="G616" s="46"/>
      <c r="H616" s="39"/>
      <c r="N616" s="30"/>
      <c r="Q616" s="30"/>
      <c r="T616" s="35"/>
      <c r="Z616" s="32"/>
      <c r="AA616" s="30"/>
      <c r="AB616" s="30"/>
      <c r="AF616" s="48"/>
      <c r="AG616" s="27"/>
      <c r="AH616" s="27"/>
      <c r="AI616" s="6"/>
      <c r="AJ616" s="30"/>
    </row>
    <row r="617" spans="7:36" x14ac:dyDescent="0.3">
      <c r="G617" s="46"/>
      <c r="H617" s="39"/>
      <c r="N617" s="30"/>
      <c r="Q617" s="30"/>
      <c r="T617" s="35"/>
      <c r="Z617" s="32"/>
      <c r="AA617" s="30"/>
      <c r="AB617" s="30"/>
      <c r="AF617" s="48"/>
      <c r="AG617" s="27"/>
      <c r="AH617" s="27"/>
      <c r="AI617" s="6"/>
      <c r="AJ617" s="30"/>
    </row>
    <row r="618" spans="7:36" x14ac:dyDescent="0.3">
      <c r="G618" s="46"/>
      <c r="H618" s="39"/>
      <c r="N618" s="30"/>
      <c r="Q618" s="30"/>
      <c r="T618" s="35"/>
      <c r="Z618" s="32"/>
      <c r="AA618" s="30"/>
      <c r="AB618" s="30"/>
      <c r="AF618" s="48"/>
      <c r="AG618" s="27"/>
      <c r="AH618" s="27"/>
      <c r="AI618" s="6"/>
      <c r="AJ618" s="30"/>
    </row>
    <row r="619" spans="7:36" x14ac:dyDescent="0.3">
      <c r="G619" s="46"/>
      <c r="H619" s="39"/>
      <c r="N619" s="30"/>
      <c r="Q619" s="30"/>
      <c r="T619" s="35"/>
      <c r="Z619" s="32"/>
      <c r="AA619" s="30"/>
      <c r="AB619" s="30"/>
      <c r="AF619" s="48"/>
      <c r="AG619" s="27"/>
      <c r="AH619" s="27"/>
      <c r="AI619" s="6"/>
      <c r="AJ619" s="30"/>
    </row>
    <row r="620" spans="7:36" x14ac:dyDescent="0.3">
      <c r="G620" s="46"/>
      <c r="H620" s="39"/>
      <c r="N620" s="30"/>
      <c r="Q620" s="30"/>
      <c r="T620" s="35"/>
      <c r="Z620" s="32"/>
      <c r="AA620" s="30"/>
      <c r="AB620" s="30"/>
      <c r="AF620" s="48"/>
      <c r="AG620" s="27"/>
      <c r="AH620" s="27"/>
      <c r="AI620" s="6"/>
      <c r="AJ620" s="30"/>
    </row>
    <row r="621" spans="7:36" x14ac:dyDescent="0.3">
      <c r="G621" s="46"/>
      <c r="H621" s="39"/>
      <c r="N621" s="30"/>
      <c r="Q621" s="30"/>
      <c r="T621" s="35"/>
      <c r="Z621" s="32"/>
      <c r="AA621" s="30"/>
      <c r="AB621" s="30"/>
      <c r="AF621" s="48"/>
      <c r="AG621" s="27"/>
      <c r="AH621" s="27"/>
      <c r="AI621" s="6"/>
      <c r="AJ621" s="30"/>
    </row>
    <row r="622" spans="7:36" x14ac:dyDescent="0.3">
      <c r="G622" s="46"/>
      <c r="H622" s="39"/>
      <c r="N622" s="30"/>
      <c r="Q622" s="30"/>
      <c r="T622" s="35"/>
      <c r="Z622" s="32"/>
      <c r="AA622" s="30"/>
      <c r="AB622" s="30"/>
      <c r="AF622" s="48"/>
      <c r="AG622" s="27"/>
      <c r="AH622" s="27"/>
      <c r="AI622" s="6"/>
      <c r="AJ622" s="30"/>
    </row>
    <row r="623" spans="7:36" x14ac:dyDescent="0.3">
      <c r="G623" s="46"/>
      <c r="H623" s="39"/>
      <c r="N623" s="30"/>
      <c r="Q623" s="30"/>
      <c r="T623" s="35"/>
      <c r="Z623" s="32"/>
      <c r="AA623" s="30"/>
      <c r="AB623" s="30"/>
      <c r="AF623" s="48"/>
      <c r="AG623" s="27"/>
      <c r="AH623" s="27"/>
      <c r="AI623" s="6"/>
      <c r="AJ623" s="30"/>
    </row>
    <row r="624" spans="7:36" x14ac:dyDescent="0.3">
      <c r="G624" s="46"/>
      <c r="H624" s="39"/>
      <c r="N624" s="30"/>
      <c r="Q624" s="30"/>
      <c r="T624" s="35"/>
      <c r="Z624" s="32"/>
      <c r="AA624" s="30"/>
      <c r="AB624" s="30"/>
      <c r="AF624" s="48"/>
      <c r="AG624" s="27"/>
      <c r="AH624" s="27"/>
      <c r="AI624" s="6"/>
      <c r="AJ624" s="30"/>
    </row>
    <row r="625" spans="7:36" x14ac:dyDescent="0.3">
      <c r="G625" s="46"/>
      <c r="H625" s="39"/>
      <c r="N625" s="30"/>
      <c r="Q625" s="30"/>
      <c r="T625" s="35"/>
      <c r="Z625" s="32"/>
      <c r="AA625" s="30"/>
      <c r="AB625" s="30"/>
      <c r="AF625" s="48"/>
      <c r="AG625" s="27"/>
      <c r="AH625" s="27"/>
      <c r="AI625" s="6"/>
      <c r="AJ625" s="30"/>
    </row>
    <row r="626" spans="7:36" x14ac:dyDescent="0.3">
      <c r="G626" s="46"/>
      <c r="H626" s="39"/>
      <c r="N626" s="30"/>
      <c r="Q626" s="30"/>
      <c r="T626" s="35"/>
      <c r="Z626" s="32"/>
      <c r="AA626" s="30"/>
      <c r="AB626" s="30"/>
      <c r="AF626" s="48"/>
      <c r="AG626" s="27"/>
      <c r="AH626" s="27"/>
      <c r="AI626" s="6"/>
      <c r="AJ626" s="30"/>
    </row>
    <row r="627" spans="7:36" x14ac:dyDescent="0.3">
      <c r="G627" s="46"/>
      <c r="H627" s="39"/>
      <c r="N627" s="30"/>
      <c r="Q627" s="30"/>
      <c r="T627" s="35"/>
      <c r="Z627" s="32"/>
      <c r="AA627" s="30"/>
      <c r="AB627" s="30"/>
      <c r="AF627" s="48"/>
      <c r="AG627" s="27"/>
      <c r="AH627" s="27"/>
      <c r="AI627" s="6"/>
      <c r="AJ627" s="30"/>
    </row>
    <row r="628" spans="7:36" x14ac:dyDescent="0.3">
      <c r="G628" s="46"/>
      <c r="H628" s="39"/>
      <c r="N628" s="30"/>
      <c r="Q628" s="30"/>
      <c r="T628" s="35"/>
      <c r="Z628" s="32"/>
      <c r="AA628" s="30"/>
      <c r="AB628" s="30"/>
      <c r="AF628" s="48"/>
      <c r="AG628" s="27"/>
      <c r="AH628" s="27"/>
      <c r="AI628" s="6"/>
      <c r="AJ628" s="30"/>
    </row>
    <row r="629" spans="7:36" x14ac:dyDescent="0.3">
      <c r="G629" s="46"/>
      <c r="H629" s="39"/>
      <c r="N629" s="30"/>
      <c r="Q629" s="30"/>
      <c r="T629" s="35"/>
      <c r="Z629" s="32"/>
      <c r="AA629" s="30"/>
      <c r="AB629" s="30"/>
      <c r="AF629" s="48"/>
      <c r="AG629" s="27"/>
      <c r="AH629" s="27"/>
      <c r="AI629" s="6"/>
      <c r="AJ629" s="30"/>
    </row>
    <row r="630" spans="7:36" x14ac:dyDescent="0.3">
      <c r="G630" s="46"/>
      <c r="H630" s="39"/>
      <c r="N630" s="30"/>
      <c r="Q630" s="30"/>
      <c r="T630" s="35"/>
      <c r="Z630" s="32"/>
      <c r="AA630" s="30"/>
      <c r="AB630" s="30"/>
      <c r="AF630" s="48"/>
      <c r="AG630" s="27"/>
      <c r="AH630" s="27"/>
      <c r="AI630" s="6"/>
      <c r="AJ630" s="30"/>
    </row>
    <row r="631" spans="7:36" x14ac:dyDescent="0.3">
      <c r="G631" s="46"/>
      <c r="H631" s="39"/>
      <c r="N631" s="30"/>
      <c r="Q631" s="30"/>
      <c r="T631" s="35"/>
      <c r="Z631" s="32"/>
      <c r="AA631" s="30"/>
      <c r="AB631" s="30"/>
      <c r="AF631" s="48"/>
      <c r="AG631" s="27"/>
      <c r="AH631" s="27"/>
      <c r="AI631" s="6"/>
      <c r="AJ631" s="30"/>
    </row>
    <row r="632" spans="7:36" x14ac:dyDescent="0.3">
      <c r="G632" s="46"/>
      <c r="H632" s="39"/>
      <c r="N632" s="30"/>
      <c r="Q632" s="30"/>
      <c r="T632" s="35"/>
      <c r="Z632" s="32"/>
      <c r="AA632" s="30"/>
      <c r="AB632" s="30"/>
      <c r="AF632" s="48"/>
      <c r="AG632" s="27"/>
      <c r="AH632" s="27"/>
      <c r="AI632" s="6"/>
      <c r="AJ632" s="30"/>
    </row>
    <row r="633" spans="7:36" x14ac:dyDescent="0.3">
      <c r="G633" s="46"/>
      <c r="H633" s="39"/>
      <c r="N633" s="30"/>
      <c r="Q633" s="30"/>
      <c r="T633" s="35"/>
      <c r="Z633" s="32"/>
      <c r="AA633" s="30"/>
      <c r="AB633" s="30"/>
      <c r="AF633" s="48"/>
      <c r="AG633" s="27"/>
      <c r="AH633" s="27"/>
      <c r="AI633" s="6"/>
      <c r="AJ633" s="30"/>
    </row>
    <row r="634" spans="7:36" x14ac:dyDescent="0.3">
      <c r="G634" s="46"/>
      <c r="H634" s="39"/>
      <c r="N634" s="30"/>
      <c r="Q634" s="30"/>
      <c r="T634" s="35"/>
      <c r="Z634" s="32"/>
      <c r="AA634" s="30"/>
      <c r="AB634" s="30"/>
      <c r="AF634" s="48"/>
      <c r="AG634" s="27"/>
      <c r="AH634" s="27"/>
      <c r="AI634" s="6"/>
      <c r="AJ634" s="30"/>
    </row>
    <row r="635" spans="7:36" x14ac:dyDescent="0.3">
      <c r="G635" s="46"/>
      <c r="H635" s="39"/>
      <c r="N635" s="30"/>
      <c r="Q635" s="30"/>
      <c r="T635" s="35"/>
      <c r="Z635" s="32"/>
      <c r="AA635" s="30"/>
      <c r="AB635" s="30"/>
      <c r="AF635" s="48"/>
      <c r="AG635" s="27"/>
      <c r="AH635" s="27"/>
      <c r="AI635" s="6"/>
      <c r="AJ635" s="30"/>
    </row>
    <row r="636" spans="7:36" x14ac:dyDescent="0.3">
      <c r="G636" s="46"/>
      <c r="H636" s="39"/>
      <c r="N636" s="30"/>
      <c r="Q636" s="30"/>
      <c r="T636" s="35"/>
      <c r="Z636" s="32"/>
      <c r="AA636" s="30"/>
      <c r="AB636" s="30"/>
      <c r="AF636" s="48"/>
      <c r="AG636" s="27"/>
      <c r="AH636" s="27"/>
      <c r="AI636" s="6"/>
      <c r="AJ636" s="30"/>
    </row>
    <row r="637" spans="7:36" x14ac:dyDescent="0.3">
      <c r="G637" s="46"/>
      <c r="H637" s="39"/>
      <c r="N637" s="30"/>
      <c r="Q637" s="30"/>
      <c r="T637" s="35"/>
      <c r="Z637" s="32"/>
      <c r="AA637" s="30"/>
      <c r="AB637" s="30"/>
      <c r="AF637" s="48"/>
      <c r="AG637" s="27"/>
      <c r="AH637" s="27"/>
      <c r="AI637" s="6"/>
      <c r="AJ637" s="30"/>
    </row>
    <row r="638" spans="7:36" x14ac:dyDescent="0.3">
      <c r="G638" s="46"/>
      <c r="H638" s="39"/>
      <c r="N638" s="30"/>
      <c r="Q638" s="30"/>
      <c r="T638" s="35"/>
      <c r="Z638" s="32"/>
      <c r="AA638" s="30"/>
      <c r="AB638" s="30"/>
      <c r="AF638" s="48"/>
      <c r="AG638" s="27"/>
      <c r="AH638" s="27"/>
      <c r="AI638" s="6"/>
      <c r="AJ638" s="30"/>
    </row>
    <row r="639" spans="7:36" x14ac:dyDescent="0.3">
      <c r="G639" s="46"/>
      <c r="H639" s="39"/>
      <c r="N639" s="30"/>
      <c r="Q639" s="30"/>
      <c r="T639" s="35"/>
      <c r="Z639" s="32"/>
      <c r="AA639" s="30"/>
      <c r="AB639" s="30"/>
      <c r="AF639" s="48"/>
      <c r="AG639" s="27"/>
      <c r="AH639" s="27"/>
      <c r="AI639" s="6"/>
      <c r="AJ639" s="30"/>
    </row>
    <row r="640" spans="7:36" x14ac:dyDescent="0.3">
      <c r="G640" s="46"/>
      <c r="H640" s="39"/>
      <c r="N640" s="30"/>
      <c r="Q640" s="30"/>
      <c r="T640" s="35"/>
      <c r="Z640" s="32"/>
      <c r="AA640" s="30"/>
      <c r="AB640" s="30"/>
      <c r="AF640" s="48"/>
      <c r="AG640" s="27"/>
      <c r="AH640" s="27"/>
      <c r="AI640" s="6"/>
      <c r="AJ640" s="30"/>
    </row>
    <row r="641" spans="7:36" x14ac:dyDescent="0.3">
      <c r="G641" s="46"/>
      <c r="H641" s="39"/>
      <c r="N641" s="30"/>
      <c r="Q641" s="30"/>
      <c r="T641" s="35"/>
      <c r="Z641" s="32"/>
      <c r="AA641" s="30"/>
      <c r="AB641" s="30"/>
      <c r="AF641" s="48"/>
      <c r="AG641" s="27"/>
      <c r="AH641" s="27"/>
      <c r="AI641" s="6"/>
      <c r="AJ641" s="30"/>
    </row>
    <row r="642" spans="7:36" x14ac:dyDescent="0.3">
      <c r="G642" s="46"/>
      <c r="H642" s="39"/>
      <c r="N642" s="30"/>
      <c r="Q642" s="30"/>
      <c r="T642" s="35"/>
      <c r="Z642" s="32"/>
      <c r="AA642" s="30"/>
      <c r="AB642" s="30"/>
      <c r="AF642" s="48"/>
      <c r="AG642" s="27"/>
      <c r="AH642" s="27"/>
      <c r="AI642" s="6"/>
      <c r="AJ642" s="30"/>
    </row>
    <row r="643" spans="7:36" x14ac:dyDescent="0.3">
      <c r="G643" s="46"/>
      <c r="H643" s="39"/>
      <c r="N643" s="30"/>
      <c r="Q643" s="30"/>
      <c r="T643" s="35"/>
      <c r="Z643" s="32"/>
      <c r="AA643" s="30"/>
      <c r="AB643" s="30"/>
      <c r="AF643" s="48"/>
      <c r="AG643" s="27"/>
      <c r="AH643" s="27"/>
      <c r="AI643" s="6"/>
      <c r="AJ643" s="30"/>
    </row>
    <row r="644" spans="7:36" x14ac:dyDescent="0.3">
      <c r="G644" s="46"/>
      <c r="H644" s="39"/>
      <c r="N644" s="30"/>
      <c r="Q644" s="30"/>
      <c r="T644" s="35"/>
      <c r="Z644" s="32"/>
      <c r="AA644" s="30"/>
      <c r="AB644" s="30"/>
      <c r="AF644" s="48"/>
      <c r="AG644" s="27"/>
      <c r="AH644" s="27"/>
      <c r="AI644" s="6"/>
      <c r="AJ644" s="30"/>
    </row>
    <row r="645" spans="7:36" x14ac:dyDescent="0.3">
      <c r="G645" s="46"/>
      <c r="H645" s="39"/>
      <c r="N645" s="30"/>
      <c r="Q645" s="30"/>
      <c r="T645" s="35"/>
      <c r="Z645" s="32"/>
      <c r="AA645" s="30"/>
      <c r="AB645" s="30"/>
      <c r="AF645" s="48"/>
      <c r="AG645" s="27"/>
      <c r="AH645" s="27"/>
      <c r="AI645" s="6"/>
      <c r="AJ645" s="30"/>
    </row>
    <row r="646" spans="7:36" x14ac:dyDescent="0.3">
      <c r="G646" s="46"/>
      <c r="H646" s="39"/>
      <c r="N646" s="30"/>
      <c r="Q646" s="30"/>
      <c r="T646" s="35"/>
      <c r="Z646" s="32"/>
      <c r="AA646" s="30"/>
      <c r="AB646" s="30"/>
      <c r="AF646" s="48"/>
      <c r="AG646" s="27"/>
      <c r="AH646" s="27"/>
      <c r="AI646" s="6"/>
      <c r="AJ646" s="30"/>
    </row>
    <row r="647" spans="7:36" x14ac:dyDescent="0.3">
      <c r="G647" s="46"/>
      <c r="H647" s="39"/>
      <c r="N647" s="30"/>
      <c r="Q647" s="30"/>
      <c r="T647" s="35"/>
      <c r="Z647" s="32"/>
      <c r="AA647" s="30"/>
      <c r="AB647" s="30"/>
      <c r="AF647" s="48"/>
      <c r="AG647" s="27"/>
      <c r="AH647" s="27"/>
      <c r="AI647" s="6"/>
      <c r="AJ647" s="30"/>
    </row>
    <row r="648" spans="7:36" x14ac:dyDescent="0.3">
      <c r="G648" s="46"/>
      <c r="H648" s="39"/>
      <c r="N648" s="30"/>
      <c r="Q648" s="30"/>
      <c r="T648" s="35"/>
      <c r="Z648" s="32"/>
      <c r="AA648" s="30"/>
      <c r="AB648" s="30"/>
      <c r="AF648" s="48"/>
      <c r="AG648" s="27"/>
      <c r="AH648" s="27"/>
      <c r="AI648" s="6"/>
      <c r="AJ648" s="30"/>
    </row>
    <row r="649" spans="7:36" x14ac:dyDescent="0.3">
      <c r="G649" s="46"/>
      <c r="H649" s="39"/>
      <c r="N649" s="30"/>
      <c r="Q649" s="30"/>
      <c r="T649" s="35"/>
      <c r="Z649" s="32"/>
      <c r="AA649" s="30"/>
      <c r="AB649" s="30"/>
      <c r="AF649" s="48"/>
      <c r="AG649" s="27"/>
      <c r="AH649" s="27"/>
      <c r="AI649" s="6"/>
      <c r="AJ649" s="30"/>
    </row>
    <row r="650" spans="7:36" x14ac:dyDescent="0.3">
      <c r="G650" s="46"/>
      <c r="H650" s="39"/>
      <c r="N650" s="30"/>
      <c r="Q650" s="30"/>
      <c r="T650" s="35"/>
      <c r="Z650" s="32"/>
      <c r="AA650" s="30"/>
      <c r="AB650" s="30"/>
      <c r="AF650" s="48"/>
      <c r="AG650" s="27"/>
      <c r="AH650" s="27"/>
      <c r="AI650" s="6"/>
      <c r="AJ650" s="30"/>
    </row>
    <row r="651" spans="7:36" x14ac:dyDescent="0.3">
      <c r="G651" s="46"/>
      <c r="H651" s="39"/>
      <c r="N651" s="30"/>
      <c r="Q651" s="30"/>
      <c r="T651" s="35"/>
      <c r="Z651" s="32"/>
      <c r="AA651" s="30"/>
      <c r="AB651" s="30"/>
      <c r="AF651" s="48"/>
      <c r="AG651" s="27"/>
      <c r="AH651" s="27"/>
      <c r="AI651" s="6"/>
      <c r="AJ651" s="30"/>
    </row>
    <row r="652" spans="7:36" x14ac:dyDescent="0.3">
      <c r="G652" s="46"/>
      <c r="H652" s="39"/>
      <c r="N652" s="30"/>
      <c r="Q652" s="30"/>
      <c r="T652" s="35"/>
      <c r="Z652" s="32"/>
      <c r="AA652" s="30"/>
      <c r="AB652" s="30"/>
      <c r="AF652" s="48"/>
      <c r="AG652" s="27"/>
      <c r="AH652" s="27"/>
      <c r="AI652" s="6"/>
      <c r="AJ652" s="30"/>
    </row>
    <row r="653" spans="7:36" x14ac:dyDescent="0.3">
      <c r="G653" s="46"/>
      <c r="H653" s="39"/>
      <c r="N653" s="30"/>
      <c r="Q653" s="30"/>
      <c r="T653" s="35"/>
      <c r="Z653" s="32"/>
      <c r="AA653" s="30"/>
      <c r="AB653" s="30"/>
      <c r="AF653" s="48"/>
      <c r="AG653" s="27"/>
      <c r="AH653" s="27"/>
      <c r="AI653" s="6"/>
      <c r="AJ653" s="30"/>
    </row>
    <row r="654" spans="7:36" x14ac:dyDescent="0.3">
      <c r="G654" s="46"/>
      <c r="H654" s="39"/>
      <c r="N654" s="30"/>
      <c r="Q654" s="30"/>
      <c r="T654" s="35"/>
      <c r="Z654" s="32"/>
      <c r="AA654" s="30"/>
      <c r="AB654" s="30"/>
      <c r="AF654" s="48"/>
      <c r="AG654" s="27"/>
      <c r="AH654" s="27"/>
      <c r="AI654" s="6"/>
      <c r="AJ654" s="30"/>
    </row>
    <row r="655" spans="7:36" x14ac:dyDescent="0.3">
      <c r="G655" s="46"/>
      <c r="H655" s="39"/>
      <c r="N655" s="30"/>
      <c r="Q655" s="30"/>
      <c r="T655" s="35"/>
      <c r="Z655" s="32"/>
      <c r="AA655" s="30"/>
      <c r="AB655" s="30"/>
      <c r="AF655" s="48"/>
      <c r="AG655" s="27"/>
      <c r="AH655" s="27"/>
      <c r="AI655" s="6"/>
      <c r="AJ655" s="30"/>
    </row>
    <row r="656" spans="7:36" x14ac:dyDescent="0.3">
      <c r="G656" s="46"/>
      <c r="H656" s="39"/>
      <c r="N656" s="30"/>
      <c r="Q656" s="30"/>
      <c r="T656" s="35"/>
      <c r="Z656" s="32"/>
      <c r="AA656" s="30"/>
      <c r="AB656" s="30"/>
      <c r="AF656" s="48"/>
      <c r="AG656" s="27"/>
      <c r="AH656" s="27"/>
      <c r="AI656" s="6"/>
      <c r="AJ656" s="30"/>
    </row>
    <row r="657" spans="7:36" x14ac:dyDescent="0.3">
      <c r="G657" s="46"/>
      <c r="H657" s="39"/>
      <c r="N657" s="30"/>
      <c r="Q657" s="30"/>
      <c r="T657" s="35"/>
      <c r="Z657" s="32"/>
      <c r="AA657" s="30"/>
      <c r="AB657" s="30"/>
      <c r="AF657" s="48"/>
      <c r="AG657" s="27"/>
      <c r="AH657" s="27"/>
      <c r="AI657" s="6"/>
      <c r="AJ657" s="30"/>
    </row>
    <row r="658" spans="7:36" x14ac:dyDescent="0.3">
      <c r="G658" s="46"/>
      <c r="H658" s="39"/>
      <c r="N658" s="30"/>
      <c r="Q658" s="30"/>
      <c r="T658" s="35"/>
      <c r="Z658" s="32"/>
      <c r="AA658" s="30"/>
      <c r="AB658" s="30"/>
      <c r="AF658" s="48"/>
      <c r="AG658" s="27"/>
      <c r="AH658" s="27"/>
      <c r="AI658" s="6"/>
      <c r="AJ658" s="30"/>
    </row>
    <row r="659" spans="7:36" x14ac:dyDescent="0.3">
      <c r="G659" s="46"/>
      <c r="H659" s="39"/>
      <c r="N659" s="30"/>
      <c r="Q659" s="30"/>
      <c r="T659" s="35"/>
      <c r="Z659" s="32"/>
      <c r="AA659" s="30"/>
      <c r="AB659" s="30"/>
      <c r="AF659" s="48"/>
      <c r="AG659" s="27"/>
      <c r="AH659" s="27"/>
      <c r="AI659" s="6"/>
      <c r="AJ659" s="30"/>
    </row>
    <row r="660" spans="7:36" x14ac:dyDescent="0.3">
      <c r="G660" s="46"/>
      <c r="H660" s="39"/>
      <c r="N660" s="30"/>
      <c r="Q660" s="30"/>
      <c r="T660" s="35"/>
      <c r="Z660" s="32"/>
      <c r="AA660" s="30"/>
      <c r="AB660" s="30"/>
      <c r="AF660" s="48"/>
      <c r="AG660" s="27"/>
      <c r="AH660" s="27"/>
      <c r="AI660" s="6"/>
      <c r="AJ660" s="30"/>
    </row>
    <row r="661" spans="7:36" x14ac:dyDescent="0.3">
      <c r="G661" s="46"/>
      <c r="H661" s="39"/>
      <c r="N661" s="30"/>
      <c r="Q661" s="30"/>
      <c r="T661" s="35"/>
      <c r="Z661" s="32"/>
      <c r="AA661" s="30"/>
      <c r="AB661" s="30"/>
      <c r="AF661" s="48"/>
      <c r="AG661" s="27"/>
      <c r="AH661" s="27"/>
      <c r="AI661" s="6"/>
      <c r="AJ661" s="30"/>
    </row>
    <row r="662" spans="7:36" x14ac:dyDescent="0.3">
      <c r="G662" s="46"/>
      <c r="H662" s="39"/>
      <c r="N662" s="30"/>
      <c r="Q662" s="30"/>
      <c r="T662" s="35"/>
      <c r="Z662" s="32"/>
      <c r="AA662" s="30"/>
      <c r="AB662" s="30"/>
      <c r="AF662" s="48"/>
      <c r="AG662" s="27"/>
      <c r="AH662" s="27"/>
      <c r="AI662" s="6"/>
      <c r="AJ662" s="30"/>
    </row>
    <row r="663" spans="7:36" x14ac:dyDescent="0.3">
      <c r="G663" s="46"/>
      <c r="H663" s="39"/>
      <c r="N663" s="30"/>
      <c r="Q663" s="30"/>
      <c r="T663" s="35"/>
      <c r="Z663" s="32"/>
      <c r="AA663" s="30"/>
      <c r="AB663" s="30"/>
      <c r="AF663" s="48"/>
      <c r="AG663" s="27"/>
      <c r="AH663" s="27"/>
      <c r="AI663" s="6"/>
      <c r="AJ663" s="30"/>
    </row>
    <row r="664" spans="7:36" x14ac:dyDescent="0.3">
      <c r="G664" s="46"/>
      <c r="H664" s="39"/>
      <c r="N664" s="30"/>
      <c r="Q664" s="30"/>
      <c r="T664" s="35"/>
      <c r="Z664" s="32"/>
      <c r="AA664" s="30"/>
      <c r="AB664" s="30"/>
      <c r="AF664" s="48"/>
      <c r="AG664" s="27"/>
      <c r="AH664" s="27"/>
      <c r="AI664" s="6"/>
      <c r="AJ664" s="30"/>
    </row>
    <row r="665" spans="7:36" x14ac:dyDescent="0.3">
      <c r="G665" s="46"/>
      <c r="H665" s="39"/>
      <c r="N665" s="30"/>
      <c r="Q665" s="30"/>
      <c r="T665" s="35"/>
      <c r="Z665" s="32"/>
      <c r="AA665" s="30"/>
      <c r="AB665" s="30"/>
      <c r="AF665" s="48"/>
      <c r="AG665" s="27"/>
      <c r="AH665" s="27"/>
      <c r="AI665" s="6"/>
      <c r="AJ665" s="30"/>
    </row>
    <row r="666" spans="7:36" x14ac:dyDescent="0.3">
      <c r="G666" s="46"/>
      <c r="H666" s="39"/>
      <c r="N666" s="30"/>
      <c r="Q666" s="30"/>
      <c r="T666" s="35"/>
      <c r="Z666" s="32"/>
      <c r="AA666" s="30"/>
      <c r="AB666" s="30"/>
      <c r="AF666" s="48"/>
      <c r="AG666" s="27"/>
      <c r="AH666" s="27"/>
      <c r="AI666" s="6"/>
      <c r="AJ666" s="30"/>
    </row>
    <row r="667" spans="7:36" x14ac:dyDescent="0.3">
      <c r="G667" s="46"/>
      <c r="H667" s="39"/>
      <c r="N667" s="30"/>
      <c r="Q667" s="30"/>
      <c r="T667" s="35"/>
      <c r="Z667" s="32"/>
      <c r="AA667" s="30"/>
      <c r="AB667" s="30"/>
      <c r="AF667" s="48"/>
      <c r="AG667" s="27"/>
      <c r="AH667" s="27"/>
      <c r="AI667" s="6"/>
      <c r="AJ667" s="30"/>
    </row>
    <row r="668" spans="7:36" x14ac:dyDescent="0.3">
      <c r="G668" s="46"/>
      <c r="H668" s="39"/>
      <c r="N668" s="30"/>
      <c r="Q668" s="30"/>
      <c r="T668" s="35"/>
      <c r="Z668" s="32"/>
      <c r="AA668" s="30"/>
      <c r="AB668" s="30"/>
      <c r="AF668" s="48"/>
      <c r="AG668" s="27"/>
      <c r="AH668" s="27"/>
      <c r="AI668" s="6"/>
      <c r="AJ668" s="30"/>
    </row>
    <row r="669" spans="7:36" x14ac:dyDescent="0.3">
      <c r="G669" s="46"/>
      <c r="H669" s="39"/>
      <c r="N669" s="30"/>
      <c r="Q669" s="30"/>
      <c r="T669" s="35"/>
      <c r="Z669" s="32"/>
      <c r="AA669" s="30"/>
      <c r="AB669" s="30"/>
      <c r="AF669" s="48"/>
      <c r="AG669" s="27"/>
      <c r="AH669" s="27"/>
      <c r="AI669" s="6"/>
      <c r="AJ669" s="30"/>
    </row>
    <row r="670" spans="7:36" x14ac:dyDescent="0.3">
      <c r="G670" s="46"/>
      <c r="H670" s="39"/>
      <c r="N670" s="30"/>
      <c r="Q670" s="30"/>
      <c r="T670" s="35"/>
      <c r="Z670" s="32"/>
      <c r="AA670" s="30"/>
      <c r="AB670" s="30"/>
      <c r="AF670" s="48"/>
      <c r="AG670" s="27"/>
      <c r="AH670" s="27"/>
      <c r="AI670" s="6"/>
      <c r="AJ670" s="30"/>
    </row>
    <row r="671" spans="7:36" x14ac:dyDescent="0.3">
      <c r="G671" s="46"/>
      <c r="H671" s="39"/>
      <c r="N671" s="30"/>
      <c r="Q671" s="30"/>
      <c r="T671" s="35"/>
      <c r="Z671" s="32"/>
      <c r="AA671" s="30"/>
      <c r="AB671" s="30"/>
      <c r="AF671" s="48"/>
      <c r="AG671" s="27"/>
      <c r="AH671" s="27"/>
      <c r="AI671" s="6"/>
      <c r="AJ671" s="30"/>
    </row>
    <row r="672" spans="7:36" x14ac:dyDescent="0.3">
      <c r="G672" s="46"/>
      <c r="H672" s="39"/>
      <c r="N672" s="30"/>
      <c r="Q672" s="30"/>
      <c r="T672" s="35"/>
      <c r="Z672" s="32"/>
      <c r="AA672" s="30"/>
      <c r="AB672" s="30"/>
      <c r="AF672" s="48"/>
      <c r="AG672" s="27"/>
      <c r="AH672" s="27"/>
      <c r="AI672" s="6"/>
      <c r="AJ672" s="30"/>
    </row>
    <row r="673" spans="7:36" x14ac:dyDescent="0.3">
      <c r="G673" s="46"/>
      <c r="H673" s="39"/>
      <c r="N673" s="30"/>
      <c r="Q673" s="30"/>
      <c r="T673" s="35"/>
      <c r="Z673" s="32"/>
      <c r="AA673" s="30"/>
      <c r="AB673" s="30"/>
      <c r="AF673" s="48"/>
      <c r="AG673" s="27"/>
      <c r="AH673" s="27"/>
      <c r="AI673" s="6"/>
      <c r="AJ673" s="30"/>
    </row>
    <row r="674" spans="7:36" x14ac:dyDescent="0.3">
      <c r="G674" s="46"/>
      <c r="H674" s="39"/>
      <c r="N674" s="30"/>
      <c r="Q674" s="30"/>
      <c r="T674" s="35"/>
      <c r="Z674" s="32"/>
      <c r="AA674" s="30"/>
      <c r="AB674" s="30"/>
      <c r="AF674" s="48"/>
      <c r="AG674" s="27"/>
      <c r="AH674" s="27"/>
      <c r="AI674" s="6"/>
      <c r="AJ674" s="30"/>
    </row>
    <row r="675" spans="7:36" x14ac:dyDescent="0.3">
      <c r="G675" s="46"/>
      <c r="H675" s="39"/>
      <c r="N675" s="30"/>
      <c r="Q675" s="30"/>
      <c r="T675" s="35"/>
      <c r="Z675" s="32"/>
      <c r="AA675" s="30"/>
      <c r="AB675" s="30"/>
      <c r="AF675" s="48"/>
      <c r="AG675" s="27"/>
      <c r="AH675" s="27"/>
      <c r="AI675" s="6"/>
      <c r="AJ675" s="30"/>
    </row>
    <row r="676" spans="7:36" x14ac:dyDescent="0.3">
      <c r="G676" s="46"/>
      <c r="H676" s="39"/>
      <c r="N676" s="30"/>
      <c r="Q676" s="30"/>
      <c r="T676" s="35"/>
      <c r="Z676" s="32"/>
      <c r="AA676" s="30"/>
      <c r="AB676" s="30"/>
      <c r="AF676" s="48"/>
      <c r="AG676" s="27"/>
      <c r="AH676" s="27"/>
      <c r="AI676" s="6"/>
      <c r="AJ676" s="30"/>
    </row>
    <row r="677" spans="7:36" x14ac:dyDescent="0.3">
      <c r="G677" s="46"/>
      <c r="H677" s="39"/>
      <c r="N677" s="30"/>
      <c r="Q677" s="30"/>
      <c r="T677" s="35"/>
      <c r="Z677" s="32"/>
      <c r="AA677" s="30"/>
      <c r="AB677" s="30"/>
      <c r="AF677" s="48"/>
      <c r="AG677" s="27"/>
      <c r="AH677" s="27"/>
      <c r="AI677" s="6"/>
      <c r="AJ677" s="30"/>
    </row>
    <row r="678" spans="7:36" x14ac:dyDescent="0.3">
      <c r="G678" s="46"/>
      <c r="H678" s="39"/>
      <c r="N678" s="30"/>
      <c r="Q678" s="30"/>
      <c r="T678" s="35"/>
      <c r="Z678" s="32"/>
      <c r="AA678" s="30"/>
      <c r="AB678" s="30"/>
      <c r="AF678" s="48"/>
      <c r="AG678" s="27"/>
      <c r="AH678" s="27"/>
      <c r="AI678" s="6"/>
      <c r="AJ678" s="30"/>
    </row>
    <row r="679" spans="7:36" x14ac:dyDescent="0.3">
      <c r="G679" s="46"/>
      <c r="H679" s="39"/>
      <c r="N679" s="30"/>
      <c r="Q679" s="30"/>
      <c r="T679" s="35"/>
      <c r="Z679" s="32"/>
      <c r="AA679" s="30"/>
      <c r="AB679" s="30"/>
      <c r="AF679" s="48"/>
      <c r="AG679" s="27"/>
      <c r="AH679" s="27"/>
      <c r="AI679" s="6"/>
      <c r="AJ679" s="30"/>
    </row>
    <row r="680" spans="7:36" x14ac:dyDescent="0.3">
      <c r="G680" s="46"/>
      <c r="H680" s="39"/>
      <c r="N680" s="30"/>
      <c r="Q680" s="30"/>
      <c r="T680" s="35"/>
      <c r="Z680" s="32"/>
      <c r="AA680" s="30"/>
      <c r="AB680" s="30"/>
      <c r="AF680" s="48"/>
      <c r="AG680" s="27"/>
      <c r="AH680" s="27"/>
      <c r="AI680" s="6"/>
      <c r="AJ680" s="30"/>
    </row>
    <row r="681" spans="7:36" x14ac:dyDescent="0.3">
      <c r="G681" s="46"/>
      <c r="H681" s="39"/>
      <c r="N681" s="30"/>
      <c r="Q681" s="30"/>
      <c r="T681" s="35"/>
      <c r="Z681" s="32"/>
      <c r="AA681" s="30"/>
      <c r="AB681" s="30"/>
      <c r="AF681" s="48"/>
      <c r="AG681" s="27"/>
      <c r="AH681" s="27"/>
      <c r="AI681" s="6"/>
      <c r="AJ681" s="30"/>
    </row>
    <row r="682" spans="7:36" x14ac:dyDescent="0.3">
      <c r="G682" s="46"/>
      <c r="H682" s="39"/>
      <c r="N682" s="30"/>
      <c r="Q682" s="30"/>
      <c r="T682" s="35"/>
      <c r="Z682" s="32"/>
      <c r="AA682" s="30"/>
      <c r="AB682" s="30"/>
      <c r="AF682" s="48"/>
      <c r="AG682" s="27"/>
      <c r="AH682" s="27"/>
      <c r="AI682" s="6"/>
      <c r="AJ682" s="30"/>
    </row>
    <row r="683" spans="7:36" x14ac:dyDescent="0.3">
      <c r="G683" s="46"/>
      <c r="H683" s="39"/>
      <c r="N683" s="30"/>
      <c r="Q683" s="30"/>
      <c r="T683" s="35"/>
      <c r="Z683" s="32"/>
      <c r="AA683" s="30"/>
      <c r="AB683" s="30"/>
      <c r="AF683" s="48"/>
      <c r="AG683" s="27"/>
      <c r="AH683" s="27"/>
      <c r="AI683" s="6"/>
      <c r="AJ683" s="30"/>
    </row>
    <row r="684" spans="7:36" x14ac:dyDescent="0.3">
      <c r="G684" s="46"/>
      <c r="H684" s="39"/>
      <c r="N684" s="30"/>
      <c r="Q684" s="30"/>
      <c r="T684" s="35"/>
      <c r="Z684" s="32"/>
      <c r="AA684" s="30"/>
      <c r="AB684" s="30"/>
      <c r="AF684" s="48"/>
      <c r="AG684" s="27"/>
      <c r="AH684" s="27"/>
      <c r="AI684" s="6"/>
      <c r="AJ684" s="30"/>
    </row>
    <row r="685" spans="7:36" x14ac:dyDescent="0.3">
      <c r="G685" s="46"/>
      <c r="H685" s="39"/>
      <c r="N685" s="30"/>
      <c r="Q685" s="30"/>
      <c r="T685" s="35"/>
      <c r="Z685" s="32"/>
      <c r="AA685" s="30"/>
      <c r="AB685" s="30"/>
      <c r="AF685" s="48"/>
      <c r="AG685" s="27"/>
      <c r="AH685" s="27"/>
      <c r="AI685" s="6"/>
      <c r="AJ685" s="30"/>
    </row>
    <row r="686" spans="7:36" x14ac:dyDescent="0.3">
      <c r="G686" s="46"/>
      <c r="H686" s="39"/>
      <c r="N686" s="30"/>
      <c r="Q686" s="30"/>
      <c r="T686" s="35"/>
      <c r="Z686" s="32"/>
      <c r="AA686" s="30"/>
      <c r="AB686" s="30"/>
      <c r="AF686" s="48"/>
      <c r="AG686" s="27"/>
      <c r="AH686" s="27"/>
      <c r="AI686" s="6"/>
      <c r="AJ686" s="30"/>
    </row>
    <row r="687" spans="7:36" x14ac:dyDescent="0.3">
      <c r="G687" s="46"/>
      <c r="H687" s="39"/>
      <c r="N687" s="30"/>
      <c r="Q687" s="30"/>
      <c r="T687" s="35"/>
      <c r="Z687" s="32"/>
      <c r="AA687" s="30"/>
      <c r="AB687" s="30"/>
      <c r="AF687" s="48"/>
      <c r="AG687" s="27"/>
      <c r="AH687" s="27"/>
      <c r="AI687" s="6"/>
      <c r="AJ687" s="30"/>
    </row>
    <row r="688" spans="7:36" x14ac:dyDescent="0.3">
      <c r="G688" s="46"/>
      <c r="H688" s="39"/>
      <c r="N688" s="30"/>
      <c r="Q688" s="30"/>
      <c r="T688" s="35"/>
      <c r="Z688" s="32"/>
      <c r="AA688" s="30"/>
      <c r="AB688" s="30"/>
      <c r="AF688" s="48"/>
      <c r="AG688" s="27"/>
      <c r="AH688" s="27"/>
      <c r="AI688" s="6"/>
      <c r="AJ688" s="30"/>
    </row>
    <row r="689" spans="7:36" x14ac:dyDescent="0.3">
      <c r="G689" s="46"/>
      <c r="H689" s="39"/>
      <c r="N689" s="30"/>
      <c r="Q689" s="30"/>
      <c r="T689" s="35"/>
      <c r="Z689" s="32"/>
      <c r="AA689" s="30"/>
      <c r="AB689" s="30"/>
      <c r="AF689" s="48"/>
      <c r="AG689" s="27"/>
      <c r="AH689" s="27"/>
      <c r="AI689" s="6"/>
      <c r="AJ689" s="30"/>
    </row>
    <row r="690" spans="7:36" x14ac:dyDescent="0.3">
      <c r="G690" s="46"/>
      <c r="H690" s="39"/>
      <c r="N690" s="30"/>
      <c r="Q690" s="30"/>
      <c r="T690" s="35"/>
      <c r="Z690" s="32"/>
      <c r="AA690" s="30"/>
      <c r="AB690" s="30"/>
      <c r="AF690" s="48"/>
      <c r="AG690" s="27"/>
      <c r="AH690" s="27"/>
      <c r="AI690" s="6"/>
      <c r="AJ690" s="30"/>
    </row>
    <row r="691" spans="7:36" x14ac:dyDescent="0.3">
      <c r="G691" s="46"/>
      <c r="H691" s="39"/>
      <c r="N691" s="30"/>
      <c r="Q691" s="30"/>
      <c r="T691" s="35"/>
      <c r="Z691" s="32"/>
      <c r="AA691" s="30"/>
      <c r="AB691" s="30"/>
      <c r="AF691" s="48"/>
      <c r="AG691" s="27"/>
      <c r="AH691" s="27"/>
      <c r="AI691" s="6"/>
      <c r="AJ691" s="30"/>
    </row>
    <row r="692" spans="7:36" x14ac:dyDescent="0.3">
      <c r="G692" s="46"/>
      <c r="H692" s="39"/>
      <c r="N692" s="30"/>
      <c r="Q692" s="30"/>
      <c r="T692" s="35"/>
      <c r="Z692" s="32"/>
      <c r="AA692" s="30"/>
      <c r="AB692" s="30"/>
      <c r="AF692" s="48"/>
      <c r="AG692" s="27"/>
      <c r="AH692" s="27"/>
      <c r="AI692" s="6"/>
      <c r="AJ692" s="30"/>
    </row>
    <row r="693" spans="7:36" x14ac:dyDescent="0.3">
      <c r="G693" s="46"/>
      <c r="H693" s="39"/>
      <c r="N693" s="30"/>
      <c r="Q693" s="30"/>
      <c r="T693" s="35"/>
      <c r="Z693" s="32"/>
      <c r="AA693" s="30"/>
      <c r="AB693" s="30"/>
      <c r="AF693" s="48"/>
      <c r="AG693" s="27"/>
      <c r="AH693" s="27"/>
      <c r="AI693" s="6"/>
      <c r="AJ693" s="30"/>
    </row>
    <row r="694" spans="7:36" x14ac:dyDescent="0.3">
      <c r="G694" s="46"/>
      <c r="H694" s="39"/>
      <c r="N694" s="30"/>
      <c r="Q694" s="30"/>
      <c r="T694" s="35"/>
      <c r="Z694" s="32"/>
      <c r="AA694" s="30"/>
      <c r="AB694" s="30"/>
      <c r="AF694" s="48"/>
      <c r="AG694" s="27"/>
      <c r="AH694" s="27"/>
      <c r="AI694" s="6"/>
      <c r="AJ694" s="30"/>
    </row>
    <row r="695" spans="7:36" x14ac:dyDescent="0.3">
      <c r="G695" s="46"/>
      <c r="H695" s="39"/>
      <c r="N695" s="30"/>
      <c r="Q695" s="30"/>
      <c r="T695" s="35"/>
      <c r="Z695" s="32"/>
      <c r="AA695" s="30"/>
      <c r="AB695" s="30"/>
      <c r="AF695" s="48"/>
      <c r="AG695" s="27"/>
      <c r="AH695" s="27"/>
      <c r="AI695" s="6"/>
      <c r="AJ695" s="30"/>
    </row>
    <row r="696" spans="7:36" x14ac:dyDescent="0.3">
      <c r="G696" s="46"/>
      <c r="H696" s="39"/>
      <c r="N696" s="30"/>
      <c r="Q696" s="30"/>
      <c r="T696" s="35"/>
      <c r="Z696" s="32"/>
      <c r="AA696" s="30"/>
      <c r="AB696" s="30"/>
      <c r="AF696" s="48"/>
      <c r="AG696" s="27"/>
      <c r="AH696" s="27"/>
      <c r="AI696" s="6"/>
      <c r="AJ696" s="30"/>
    </row>
    <row r="697" spans="7:36" x14ac:dyDescent="0.3">
      <c r="G697" s="46"/>
      <c r="H697" s="39"/>
      <c r="N697" s="30"/>
      <c r="Q697" s="30"/>
      <c r="T697" s="35"/>
      <c r="Z697" s="32"/>
      <c r="AA697" s="30"/>
      <c r="AB697" s="30"/>
      <c r="AF697" s="48"/>
      <c r="AG697" s="27"/>
      <c r="AH697" s="27"/>
      <c r="AI697" s="6"/>
      <c r="AJ697" s="30"/>
    </row>
    <row r="698" spans="7:36" x14ac:dyDescent="0.3">
      <c r="G698" s="46"/>
      <c r="H698" s="39"/>
      <c r="N698" s="30"/>
      <c r="Q698" s="30"/>
      <c r="T698" s="35"/>
      <c r="Z698" s="32"/>
      <c r="AA698" s="30"/>
      <c r="AB698" s="30"/>
      <c r="AF698" s="48"/>
      <c r="AG698" s="27"/>
      <c r="AH698" s="27"/>
      <c r="AI698" s="6"/>
      <c r="AJ698" s="30"/>
    </row>
    <row r="699" spans="7:36" x14ac:dyDescent="0.3">
      <c r="G699" s="46"/>
      <c r="H699" s="39"/>
      <c r="N699" s="30"/>
      <c r="Q699" s="30"/>
      <c r="T699" s="35"/>
      <c r="Z699" s="32"/>
      <c r="AA699" s="30"/>
      <c r="AB699" s="30"/>
      <c r="AF699" s="48"/>
      <c r="AG699" s="27"/>
      <c r="AH699" s="27"/>
      <c r="AI699" s="6"/>
      <c r="AJ699" s="30"/>
    </row>
    <row r="700" spans="7:36" x14ac:dyDescent="0.3">
      <c r="G700" s="46"/>
      <c r="H700" s="39"/>
      <c r="N700" s="30"/>
      <c r="Q700" s="30"/>
      <c r="T700" s="35"/>
      <c r="Z700" s="32"/>
      <c r="AA700" s="30"/>
      <c r="AB700" s="30"/>
      <c r="AF700" s="48"/>
      <c r="AG700" s="27"/>
      <c r="AH700" s="27"/>
      <c r="AI700" s="6"/>
      <c r="AJ700" s="30"/>
    </row>
    <row r="701" spans="7:36" x14ac:dyDescent="0.3">
      <c r="G701" s="46"/>
      <c r="H701" s="39"/>
      <c r="N701" s="30"/>
      <c r="Q701" s="30"/>
      <c r="T701" s="35"/>
      <c r="Z701" s="32"/>
      <c r="AA701" s="30"/>
      <c r="AB701" s="30"/>
      <c r="AF701" s="48"/>
      <c r="AG701" s="27"/>
      <c r="AH701" s="27"/>
      <c r="AI701" s="6"/>
      <c r="AJ701" s="30"/>
    </row>
    <row r="702" spans="7:36" x14ac:dyDescent="0.3">
      <c r="G702" s="46"/>
      <c r="H702" s="39"/>
      <c r="N702" s="30"/>
      <c r="Q702" s="30"/>
      <c r="T702" s="35"/>
      <c r="Z702" s="32"/>
      <c r="AA702" s="30"/>
      <c r="AB702" s="30"/>
      <c r="AF702" s="48"/>
      <c r="AG702" s="27"/>
      <c r="AH702" s="27"/>
      <c r="AI702" s="6"/>
      <c r="AJ702" s="30"/>
    </row>
    <row r="703" spans="7:36" x14ac:dyDescent="0.3">
      <c r="G703" s="46"/>
      <c r="H703" s="39"/>
      <c r="N703" s="30"/>
      <c r="Q703" s="30"/>
      <c r="T703" s="35"/>
      <c r="Z703" s="32"/>
      <c r="AA703" s="30"/>
      <c r="AB703" s="30"/>
      <c r="AF703" s="48"/>
      <c r="AG703" s="27"/>
      <c r="AH703" s="27"/>
      <c r="AI703" s="6"/>
      <c r="AJ703" s="30"/>
    </row>
    <row r="704" spans="7:36" x14ac:dyDescent="0.3">
      <c r="G704" s="46"/>
      <c r="H704" s="39"/>
      <c r="N704" s="30"/>
      <c r="Q704" s="30"/>
      <c r="T704" s="35"/>
      <c r="Z704" s="32"/>
      <c r="AA704" s="30"/>
      <c r="AB704" s="30"/>
      <c r="AF704" s="48"/>
      <c r="AG704" s="27"/>
      <c r="AH704" s="27"/>
      <c r="AI704" s="6"/>
      <c r="AJ704" s="30"/>
    </row>
    <row r="705" spans="7:36" x14ac:dyDescent="0.3">
      <c r="G705" s="46"/>
      <c r="H705" s="39"/>
      <c r="N705" s="30"/>
      <c r="Q705" s="30"/>
      <c r="T705" s="35"/>
      <c r="Z705" s="32"/>
      <c r="AA705" s="30"/>
      <c r="AB705" s="30"/>
      <c r="AF705" s="48"/>
      <c r="AG705" s="27"/>
      <c r="AH705" s="27"/>
      <c r="AI705" s="6"/>
      <c r="AJ705" s="30"/>
    </row>
    <row r="706" spans="7:36" x14ac:dyDescent="0.3">
      <c r="G706" s="46"/>
      <c r="H706" s="39"/>
      <c r="N706" s="30"/>
      <c r="Q706" s="30"/>
      <c r="T706" s="35"/>
      <c r="Z706" s="32"/>
      <c r="AA706" s="30"/>
      <c r="AB706" s="30"/>
      <c r="AF706" s="48"/>
      <c r="AG706" s="27"/>
      <c r="AH706" s="27"/>
      <c r="AI706" s="6"/>
      <c r="AJ706" s="30"/>
    </row>
    <row r="707" spans="7:36" x14ac:dyDescent="0.3">
      <c r="G707" s="46"/>
      <c r="H707" s="39"/>
      <c r="N707" s="30"/>
      <c r="Q707" s="30"/>
      <c r="T707" s="35"/>
      <c r="Z707" s="32"/>
      <c r="AA707" s="30"/>
      <c r="AB707" s="30"/>
      <c r="AF707" s="48"/>
      <c r="AG707" s="27"/>
      <c r="AH707" s="27"/>
      <c r="AI707" s="6"/>
      <c r="AJ707" s="30"/>
    </row>
    <row r="708" spans="7:36" x14ac:dyDescent="0.3">
      <c r="G708" s="46"/>
      <c r="H708" s="39"/>
      <c r="N708" s="30"/>
      <c r="Q708" s="30"/>
      <c r="T708" s="35"/>
      <c r="Z708" s="32"/>
      <c r="AA708" s="30"/>
      <c r="AB708" s="30"/>
      <c r="AF708" s="48"/>
      <c r="AG708" s="27"/>
      <c r="AH708" s="27"/>
      <c r="AI708" s="6"/>
      <c r="AJ708" s="30"/>
    </row>
    <row r="709" spans="7:36" x14ac:dyDescent="0.3">
      <c r="G709" s="46"/>
      <c r="H709" s="39"/>
      <c r="N709" s="30"/>
      <c r="Q709" s="30"/>
      <c r="T709" s="35"/>
      <c r="Z709" s="32"/>
      <c r="AA709" s="30"/>
      <c r="AB709" s="30"/>
      <c r="AF709" s="48"/>
      <c r="AG709" s="27"/>
      <c r="AH709" s="27"/>
      <c r="AI709" s="6"/>
      <c r="AJ709" s="30"/>
    </row>
    <row r="710" spans="7:36" x14ac:dyDescent="0.3">
      <c r="G710" s="46"/>
      <c r="H710" s="39"/>
      <c r="N710" s="30"/>
      <c r="Q710" s="30"/>
      <c r="T710" s="35"/>
      <c r="Z710" s="32"/>
      <c r="AA710" s="30"/>
      <c r="AB710" s="30"/>
      <c r="AF710" s="48"/>
      <c r="AG710" s="27"/>
      <c r="AH710" s="27"/>
      <c r="AI710" s="6"/>
      <c r="AJ710" s="30"/>
    </row>
    <row r="711" spans="7:36" x14ac:dyDescent="0.3">
      <c r="G711" s="46"/>
      <c r="H711" s="39"/>
      <c r="N711" s="30"/>
      <c r="Q711" s="30"/>
      <c r="T711" s="35"/>
      <c r="Z711" s="32"/>
      <c r="AA711" s="30"/>
      <c r="AB711" s="30"/>
      <c r="AF711" s="48"/>
      <c r="AG711" s="27"/>
      <c r="AH711" s="27"/>
      <c r="AI711" s="6"/>
      <c r="AJ711" s="30"/>
    </row>
    <row r="712" spans="7:36" x14ac:dyDescent="0.3">
      <c r="G712" s="46"/>
      <c r="H712" s="39"/>
      <c r="N712" s="30"/>
      <c r="Q712" s="30"/>
      <c r="T712" s="35"/>
      <c r="Z712" s="32"/>
      <c r="AA712" s="30"/>
      <c r="AB712" s="30"/>
      <c r="AF712" s="48"/>
      <c r="AG712" s="27"/>
      <c r="AH712" s="27"/>
      <c r="AI712" s="6"/>
      <c r="AJ712" s="30"/>
    </row>
    <row r="713" spans="7:36" x14ac:dyDescent="0.3">
      <c r="G713" s="46"/>
      <c r="H713" s="39"/>
      <c r="N713" s="30"/>
      <c r="Q713" s="30"/>
      <c r="T713" s="35"/>
      <c r="Z713" s="32"/>
      <c r="AA713" s="30"/>
      <c r="AB713" s="30"/>
      <c r="AF713" s="48"/>
      <c r="AG713" s="27"/>
      <c r="AH713" s="27"/>
      <c r="AI713" s="6"/>
      <c r="AJ713" s="30"/>
    </row>
    <row r="714" spans="7:36" x14ac:dyDescent="0.3">
      <c r="G714" s="46"/>
      <c r="H714" s="39"/>
      <c r="N714" s="30"/>
      <c r="Q714" s="30"/>
      <c r="T714" s="35"/>
      <c r="Z714" s="32"/>
      <c r="AA714" s="30"/>
      <c r="AB714" s="30"/>
      <c r="AF714" s="48"/>
      <c r="AG714" s="27"/>
      <c r="AH714" s="27"/>
      <c r="AI714" s="6"/>
      <c r="AJ714" s="30"/>
    </row>
    <row r="715" spans="7:36" x14ac:dyDescent="0.3">
      <c r="G715" s="46"/>
      <c r="H715" s="39"/>
      <c r="N715" s="30"/>
      <c r="Q715" s="30"/>
      <c r="T715" s="35"/>
      <c r="Z715" s="32"/>
      <c r="AA715" s="30"/>
      <c r="AB715" s="30"/>
      <c r="AF715" s="48"/>
      <c r="AG715" s="27"/>
      <c r="AH715" s="27"/>
      <c r="AI715" s="6"/>
      <c r="AJ715" s="30"/>
    </row>
    <row r="716" spans="7:36" x14ac:dyDescent="0.3">
      <c r="G716" s="46"/>
      <c r="H716" s="39"/>
      <c r="N716" s="30"/>
      <c r="Q716" s="30"/>
      <c r="T716" s="35"/>
      <c r="Z716" s="32"/>
      <c r="AA716" s="30"/>
      <c r="AB716" s="30"/>
      <c r="AF716" s="48"/>
      <c r="AG716" s="27"/>
      <c r="AH716" s="27"/>
      <c r="AI716" s="6"/>
      <c r="AJ716" s="30"/>
    </row>
    <row r="717" spans="7:36" x14ac:dyDescent="0.3">
      <c r="G717" s="46"/>
      <c r="H717" s="39"/>
      <c r="N717" s="30"/>
      <c r="Q717" s="30"/>
      <c r="T717" s="35"/>
      <c r="Z717" s="32"/>
      <c r="AA717" s="30"/>
      <c r="AB717" s="30"/>
      <c r="AF717" s="48"/>
      <c r="AG717" s="27"/>
      <c r="AH717" s="27"/>
      <c r="AI717" s="6"/>
      <c r="AJ717" s="30"/>
    </row>
    <row r="718" spans="7:36" x14ac:dyDescent="0.3">
      <c r="G718" s="46"/>
      <c r="H718" s="39"/>
      <c r="N718" s="30"/>
      <c r="Q718" s="30"/>
      <c r="T718" s="35"/>
      <c r="Z718" s="32"/>
      <c r="AA718" s="30"/>
      <c r="AB718" s="30"/>
      <c r="AF718" s="48"/>
      <c r="AG718" s="27"/>
      <c r="AH718" s="27"/>
      <c r="AI718" s="6"/>
      <c r="AJ718" s="30"/>
    </row>
    <row r="719" spans="7:36" x14ac:dyDescent="0.3">
      <c r="G719" s="46"/>
      <c r="H719" s="39"/>
      <c r="N719" s="30"/>
      <c r="Q719" s="30"/>
      <c r="T719" s="35"/>
      <c r="Z719" s="32"/>
      <c r="AA719" s="30"/>
      <c r="AB719" s="30"/>
      <c r="AF719" s="48"/>
      <c r="AG719" s="27"/>
      <c r="AH719" s="27"/>
      <c r="AI719" s="6"/>
      <c r="AJ719" s="30"/>
    </row>
    <row r="720" spans="7:36" x14ac:dyDescent="0.3">
      <c r="G720" s="46"/>
      <c r="H720" s="39"/>
      <c r="N720" s="30"/>
      <c r="Q720" s="30"/>
      <c r="T720" s="35"/>
      <c r="Z720" s="32"/>
      <c r="AA720" s="30"/>
      <c r="AB720" s="30"/>
      <c r="AF720" s="48"/>
      <c r="AG720" s="27"/>
      <c r="AH720" s="27"/>
      <c r="AI720" s="6"/>
      <c r="AJ720" s="30"/>
    </row>
    <row r="721" spans="7:36" x14ac:dyDescent="0.3">
      <c r="G721" s="46"/>
      <c r="H721" s="39"/>
      <c r="N721" s="30"/>
      <c r="Q721" s="30"/>
      <c r="T721" s="35"/>
      <c r="Z721" s="32"/>
      <c r="AA721" s="30"/>
      <c r="AB721" s="30"/>
      <c r="AF721" s="48"/>
      <c r="AG721" s="27"/>
      <c r="AH721" s="27"/>
      <c r="AI721" s="6"/>
      <c r="AJ721" s="30"/>
    </row>
    <row r="722" spans="7:36" x14ac:dyDescent="0.3">
      <c r="G722" s="46"/>
      <c r="H722" s="39"/>
      <c r="N722" s="30"/>
      <c r="Q722" s="30"/>
      <c r="T722" s="35"/>
      <c r="Z722" s="32"/>
      <c r="AA722" s="30"/>
      <c r="AB722" s="30"/>
      <c r="AF722" s="48"/>
      <c r="AG722" s="27"/>
      <c r="AH722" s="27"/>
      <c r="AI722" s="6"/>
      <c r="AJ722" s="30"/>
    </row>
    <row r="723" spans="7:36" x14ac:dyDescent="0.3">
      <c r="G723" s="46"/>
      <c r="H723" s="39"/>
      <c r="N723" s="30"/>
      <c r="Q723" s="30"/>
      <c r="T723" s="35"/>
      <c r="Z723" s="32"/>
      <c r="AA723" s="30"/>
      <c r="AB723" s="30"/>
      <c r="AF723" s="48"/>
      <c r="AG723" s="27"/>
      <c r="AH723" s="27"/>
      <c r="AI723" s="6"/>
      <c r="AJ723" s="30"/>
    </row>
    <row r="724" spans="7:36" x14ac:dyDescent="0.3">
      <c r="G724" s="46"/>
      <c r="H724" s="39"/>
      <c r="N724" s="30"/>
      <c r="Q724" s="30"/>
      <c r="T724" s="35"/>
      <c r="Z724" s="32"/>
      <c r="AA724" s="30"/>
      <c r="AB724" s="30"/>
      <c r="AF724" s="48"/>
      <c r="AG724" s="27"/>
      <c r="AH724" s="27"/>
      <c r="AI724" s="6"/>
      <c r="AJ724" s="30"/>
    </row>
    <row r="725" spans="7:36" x14ac:dyDescent="0.3">
      <c r="G725" s="46"/>
      <c r="H725" s="39"/>
      <c r="N725" s="30"/>
      <c r="Q725" s="30"/>
      <c r="T725" s="35"/>
      <c r="Z725" s="32"/>
      <c r="AA725" s="30"/>
      <c r="AB725" s="30"/>
      <c r="AF725" s="48"/>
      <c r="AG725" s="27"/>
      <c r="AH725" s="27"/>
      <c r="AI725" s="6"/>
      <c r="AJ725" s="30"/>
    </row>
    <row r="726" spans="7:36" x14ac:dyDescent="0.3">
      <c r="G726" s="46"/>
      <c r="H726" s="39"/>
      <c r="N726" s="30"/>
      <c r="Q726" s="30"/>
      <c r="T726" s="35"/>
      <c r="Z726" s="32"/>
      <c r="AA726" s="30"/>
      <c r="AB726" s="30"/>
      <c r="AF726" s="48"/>
      <c r="AG726" s="27"/>
      <c r="AH726" s="27"/>
      <c r="AI726" s="6"/>
      <c r="AJ726" s="30"/>
    </row>
    <row r="727" spans="7:36" x14ac:dyDescent="0.3">
      <c r="G727" s="46"/>
      <c r="H727" s="39"/>
      <c r="N727" s="30"/>
      <c r="Q727" s="30"/>
      <c r="T727" s="35"/>
      <c r="Z727" s="32"/>
      <c r="AA727" s="30"/>
      <c r="AB727" s="30"/>
      <c r="AF727" s="48"/>
      <c r="AG727" s="27"/>
      <c r="AH727" s="27"/>
      <c r="AI727" s="6"/>
      <c r="AJ727" s="30"/>
    </row>
    <row r="728" spans="7:36" x14ac:dyDescent="0.3">
      <c r="G728" s="46"/>
      <c r="H728" s="39"/>
      <c r="N728" s="30"/>
      <c r="Q728" s="30"/>
      <c r="T728" s="35"/>
      <c r="Z728" s="32"/>
      <c r="AA728" s="30"/>
      <c r="AB728" s="30"/>
      <c r="AF728" s="48"/>
      <c r="AG728" s="27"/>
      <c r="AH728" s="27"/>
      <c r="AI728" s="6"/>
      <c r="AJ728" s="30"/>
    </row>
    <row r="729" spans="7:36" x14ac:dyDescent="0.3">
      <c r="G729" s="46"/>
      <c r="H729" s="39"/>
      <c r="N729" s="30"/>
      <c r="Q729" s="30"/>
      <c r="T729" s="35"/>
      <c r="Z729" s="32"/>
      <c r="AA729" s="30"/>
      <c r="AB729" s="30"/>
      <c r="AF729" s="48"/>
      <c r="AG729" s="27"/>
      <c r="AH729" s="27"/>
      <c r="AI729" s="6"/>
      <c r="AJ729" s="30"/>
    </row>
    <row r="730" spans="7:36" x14ac:dyDescent="0.3">
      <c r="G730" s="46"/>
      <c r="H730" s="39"/>
      <c r="N730" s="30"/>
      <c r="Q730" s="30"/>
      <c r="T730" s="35"/>
      <c r="Z730" s="32"/>
      <c r="AA730" s="30"/>
      <c r="AB730" s="30"/>
      <c r="AF730" s="48"/>
      <c r="AG730" s="27"/>
      <c r="AH730" s="27"/>
      <c r="AI730" s="6"/>
      <c r="AJ730" s="30"/>
    </row>
    <row r="731" spans="7:36" x14ac:dyDescent="0.3">
      <c r="G731" s="46"/>
      <c r="H731" s="39"/>
      <c r="N731" s="30"/>
      <c r="Q731" s="30"/>
      <c r="T731" s="35"/>
      <c r="Z731" s="32"/>
      <c r="AA731" s="30"/>
      <c r="AB731" s="30"/>
      <c r="AF731" s="48"/>
      <c r="AG731" s="27"/>
      <c r="AH731" s="27"/>
      <c r="AI731" s="6"/>
      <c r="AJ731" s="30"/>
    </row>
    <row r="732" spans="7:36" x14ac:dyDescent="0.3">
      <c r="G732" s="46"/>
      <c r="H732" s="39"/>
      <c r="N732" s="30"/>
      <c r="Q732" s="30"/>
      <c r="T732" s="35"/>
      <c r="Z732" s="32"/>
      <c r="AA732" s="30"/>
      <c r="AB732" s="30"/>
      <c r="AF732" s="48"/>
      <c r="AG732" s="27"/>
      <c r="AH732" s="27"/>
      <c r="AI732" s="6"/>
      <c r="AJ732" s="30"/>
    </row>
    <row r="733" spans="7:36" x14ac:dyDescent="0.3">
      <c r="G733" s="46"/>
      <c r="H733" s="39"/>
      <c r="N733" s="30"/>
      <c r="Q733" s="30"/>
      <c r="T733" s="35"/>
      <c r="Z733" s="32"/>
      <c r="AA733" s="30"/>
      <c r="AB733" s="30"/>
      <c r="AF733" s="48"/>
      <c r="AG733" s="27"/>
      <c r="AH733" s="27"/>
      <c r="AI733" s="6"/>
      <c r="AJ733" s="30"/>
    </row>
    <row r="734" spans="7:36" x14ac:dyDescent="0.3">
      <c r="G734" s="46"/>
      <c r="H734" s="39"/>
      <c r="N734" s="30"/>
      <c r="Q734" s="30"/>
      <c r="T734" s="35"/>
      <c r="Z734" s="32"/>
      <c r="AA734" s="30"/>
      <c r="AB734" s="30"/>
      <c r="AF734" s="48"/>
      <c r="AG734" s="27"/>
      <c r="AH734" s="27"/>
      <c r="AI734" s="6"/>
      <c r="AJ734" s="30"/>
    </row>
    <row r="735" spans="7:36" x14ac:dyDescent="0.3">
      <c r="G735" s="46"/>
      <c r="H735" s="39"/>
      <c r="N735" s="30"/>
      <c r="Q735" s="30"/>
      <c r="T735" s="35"/>
      <c r="Z735" s="32"/>
      <c r="AA735" s="30"/>
      <c r="AB735" s="30"/>
      <c r="AF735" s="48"/>
      <c r="AG735" s="27"/>
      <c r="AH735" s="27"/>
      <c r="AI735" s="6"/>
      <c r="AJ735" s="30"/>
    </row>
    <row r="736" spans="7:36" x14ac:dyDescent="0.3">
      <c r="G736" s="46"/>
      <c r="H736" s="39"/>
      <c r="N736" s="30"/>
      <c r="Q736" s="30"/>
      <c r="T736" s="35"/>
      <c r="Z736" s="32"/>
      <c r="AA736" s="30"/>
      <c r="AB736" s="30"/>
      <c r="AF736" s="48"/>
      <c r="AG736" s="27"/>
      <c r="AH736" s="27"/>
      <c r="AI736" s="6"/>
      <c r="AJ736" s="30"/>
    </row>
    <row r="737" spans="7:36" x14ac:dyDescent="0.3">
      <c r="G737" s="46"/>
      <c r="H737" s="39"/>
      <c r="N737" s="30"/>
      <c r="Q737" s="30"/>
      <c r="T737" s="35"/>
      <c r="Z737" s="32"/>
      <c r="AA737" s="30"/>
      <c r="AB737" s="30"/>
      <c r="AF737" s="48"/>
      <c r="AG737" s="27"/>
      <c r="AH737" s="27"/>
      <c r="AI737" s="6"/>
      <c r="AJ737" s="30"/>
    </row>
    <row r="738" spans="7:36" x14ac:dyDescent="0.3">
      <c r="G738" s="46"/>
      <c r="H738" s="39"/>
      <c r="N738" s="30"/>
      <c r="Q738" s="30"/>
      <c r="T738" s="35"/>
      <c r="Z738" s="32"/>
      <c r="AA738" s="30"/>
      <c r="AB738" s="30"/>
      <c r="AF738" s="48"/>
      <c r="AG738" s="27"/>
      <c r="AH738" s="27"/>
      <c r="AI738" s="6"/>
      <c r="AJ738" s="30"/>
    </row>
    <row r="739" spans="7:36" x14ac:dyDescent="0.3">
      <c r="G739" s="46"/>
      <c r="H739" s="39"/>
      <c r="N739" s="30"/>
      <c r="Q739" s="30"/>
      <c r="T739" s="35"/>
      <c r="Z739" s="32"/>
      <c r="AA739" s="30"/>
      <c r="AB739" s="30"/>
      <c r="AF739" s="48"/>
      <c r="AG739" s="27"/>
      <c r="AH739" s="27"/>
      <c r="AI739" s="6"/>
      <c r="AJ739" s="30"/>
    </row>
    <row r="740" spans="7:36" x14ac:dyDescent="0.3">
      <c r="G740" s="46"/>
      <c r="H740" s="39"/>
      <c r="N740" s="30"/>
      <c r="Q740" s="30"/>
      <c r="T740" s="35"/>
      <c r="Z740" s="32"/>
      <c r="AA740" s="30"/>
      <c r="AB740" s="30"/>
      <c r="AF740" s="48"/>
      <c r="AG740" s="27"/>
      <c r="AH740" s="27"/>
      <c r="AI740" s="6"/>
      <c r="AJ740" s="30"/>
    </row>
    <row r="741" spans="7:36" x14ac:dyDescent="0.3">
      <c r="G741" s="46"/>
      <c r="H741" s="39"/>
      <c r="N741" s="30"/>
      <c r="Q741" s="30"/>
      <c r="T741" s="35"/>
      <c r="Z741" s="32"/>
      <c r="AA741" s="30"/>
      <c r="AB741" s="30"/>
      <c r="AF741" s="48"/>
      <c r="AG741" s="27"/>
      <c r="AH741" s="27"/>
      <c r="AI741" s="6"/>
      <c r="AJ741" s="30"/>
    </row>
    <row r="742" spans="7:36" x14ac:dyDescent="0.3">
      <c r="G742" s="46"/>
      <c r="H742" s="39"/>
      <c r="N742" s="30"/>
      <c r="Q742" s="30"/>
      <c r="T742" s="35"/>
      <c r="Z742" s="32"/>
      <c r="AA742" s="30"/>
      <c r="AB742" s="30"/>
      <c r="AF742" s="48"/>
      <c r="AG742" s="27"/>
      <c r="AH742" s="27"/>
      <c r="AI742" s="6"/>
      <c r="AJ742" s="30"/>
    </row>
    <row r="743" spans="7:36" x14ac:dyDescent="0.3">
      <c r="G743" s="46"/>
      <c r="H743" s="39"/>
      <c r="N743" s="30"/>
      <c r="Q743" s="30"/>
      <c r="T743" s="35"/>
      <c r="Z743" s="32"/>
      <c r="AA743" s="30"/>
      <c r="AB743" s="30"/>
      <c r="AF743" s="48"/>
      <c r="AG743" s="27"/>
      <c r="AH743" s="27"/>
      <c r="AI743" s="6"/>
      <c r="AJ743" s="30"/>
    </row>
    <row r="744" spans="7:36" x14ac:dyDescent="0.3">
      <c r="G744" s="46"/>
      <c r="H744" s="39"/>
      <c r="N744" s="30"/>
      <c r="Q744" s="30"/>
      <c r="T744" s="35"/>
      <c r="Z744" s="32"/>
      <c r="AA744" s="30"/>
      <c r="AB744" s="30"/>
      <c r="AF744" s="48"/>
      <c r="AG744" s="27"/>
      <c r="AH744" s="27"/>
      <c r="AI744" s="6"/>
      <c r="AJ744" s="30"/>
    </row>
    <row r="745" spans="7:36" x14ac:dyDescent="0.3">
      <c r="G745" s="46"/>
      <c r="H745" s="39"/>
      <c r="N745" s="30"/>
      <c r="Q745" s="30"/>
      <c r="T745" s="35"/>
      <c r="Z745" s="32"/>
      <c r="AA745" s="30"/>
      <c r="AB745" s="30"/>
      <c r="AF745" s="48"/>
      <c r="AG745" s="27"/>
      <c r="AH745" s="27"/>
      <c r="AI745" s="6"/>
      <c r="AJ745" s="30"/>
    </row>
    <row r="746" spans="7:36" x14ac:dyDescent="0.3">
      <c r="G746" s="46"/>
      <c r="H746" s="39"/>
      <c r="N746" s="30"/>
      <c r="Q746" s="30"/>
      <c r="T746" s="35"/>
      <c r="Z746" s="32"/>
      <c r="AA746" s="30"/>
      <c r="AB746" s="30"/>
      <c r="AF746" s="48"/>
      <c r="AG746" s="27"/>
      <c r="AH746" s="27"/>
      <c r="AI746" s="6"/>
      <c r="AJ746" s="30"/>
    </row>
    <row r="747" spans="7:36" x14ac:dyDescent="0.3">
      <c r="G747" s="46"/>
      <c r="H747" s="39"/>
      <c r="N747" s="30"/>
      <c r="Q747" s="30"/>
      <c r="T747" s="35"/>
      <c r="Z747" s="32"/>
      <c r="AA747" s="30"/>
      <c r="AB747" s="30"/>
      <c r="AF747" s="48"/>
      <c r="AG747" s="27"/>
      <c r="AH747" s="27"/>
      <c r="AI747" s="6"/>
      <c r="AJ747" s="30"/>
    </row>
    <row r="748" spans="7:36" x14ac:dyDescent="0.3">
      <c r="G748" s="46"/>
      <c r="H748" s="39"/>
      <c r="N748" s="30"/>
      <c r="Q748" s="30"/>
      <c r="T748" s="35"/>
      <c r="Z748" s="32"/>
      <c r="AA748" s="30"/>
      <c r="AB748" s="30"/>
      <c r="AF748" s="48"/>
      <c r="AG748" s="27"/>
      <c r="AH748" s="27"/>
      <c r="AI748" s="6"/>
      <c r="AJ748" s="30"/>
    </row>
    <row r="749" spans="7:36" x14ac:dyDescent="0.3">
      <c r="G749" s="46"/>
      <c r="H749" s="39"/>
      <c r="N749" s="30"/>
      <c r="Q749" s="30"/>
      <c r="T749" s="35"/>
      <c r="Z749" s="32"/>
      <c r="AA749" s="30"/>
      <c r="AB749" s="30"/>
      <c r="AF749" s="48"/>
      <c r="AG749" s="27"/>
      <c r="AH749" s="27"/>
      <c r="AI749" s="6"/>
      <c r="AJ749" s="30"/>
    </row>
    <row r="750" spans="7:36" x14ac:dyDescent="0.3">
      <c r="G750" s="46"/>
      <c r="H750" s="39"/>
      <c r="N750" s="30"/>
      <c r="Q750" s="30"/>
      <c r="T750" s="35"/>
      <c r="Z750" s="32"/>
      <c r="AA750" s="30"/>
      <c r="AB750" s="30"/>
      <c r="AF750" s="48"/>
      <c r="AG750" s="27"/>
      <c r="AH750" s="27"/>
      <c r="AI750" s="6"/>
      <c r="AJ750" s="30"/>
    </row>
    <row r="751" spans="7:36" x14ac:dyDescent="0.3">
      <c r="G751" s="46"/>
      <c r="H751" s="39"/>
      <c r="N751" s="30"/>
      <c r="Q751" s="30"/>
      <c r="T751" s="35"/>
      <c r="Z751" s="32"/>
      <c r="AA751" s="30"/>
      <c r="AB751" s="30"/>
      <c r="AF751" s="48"/>
      <c r="AG751" s="27"/>
      <c r="AH751" s="27"/>
      <c r="AI751" s="6"/>
      <c r="AJ751" s="30"/>
    </row>
    <row r="752" spans="7:36" x14ac:dyDescent="0.3">
      <c r="G752" s="46"/>
      <c r="H752" s="39"/>
      <c r="N752" s="30"/>
      <c r="Q752" s="30"/>
      <c r="T752" s="35"/>
      <c r="Z752" s="32"/>
      <c r="AA752" s="30"/>
      <c r="AB752" s="30"/>
      <c r="AF752" s="48"/>
      <c r="AG752" s="27"/>
      <c r="AH752" s="27"/>
      <c r="AI752" s="6"/>
      <c r="AJ752" s="30"/>
    </row>
    <row r="753" spans="7:36" x14ac:dyDescent="0.3">
      <c r="G753" s="46"/>
      <c r="H753" s="39"/>
      <c r="N753" s="30"/>
      <c r="Q753" s="30"/>
      <c r="T753" s="35"/>
      <c r="Z753" s="32"/>
      <c r="AA753" s="30"/>
      <c r="AB753" s="30"/>
      <c r="AF753" s="48"/>
      <c r="AG753" s="27"/>
      <c r="AH753" s="27"/>
      <c r="AI753" s="6"/>
      <c r="AJ753" s="30"/>
    </row>
    <row r="754" spans="7:36" x14ac:dyDescent="0.3">
      <c r="G754" s="46"/>
      <c r="H754" s="39"/>
      <c r="N754" s="30"/>
      <c r="Q754" s="30"/>
      <c r="T754" s="35"/>
      <c r="Z754" s="32"/>
      <c r="AA754" s="30"/>
      <c r="AB754" s="30"/>
      <c r="AF754" s="48"/>
      <c r="AG754" s="27"/>
      <c r="AH754" s="27"/>
      <c r="AI754" s="6"/>
      <c r="AJ754" s="30"/>
    </row>
    <row r="755" spans="7:36" x14ac:dyDescent="0.3">
      <c r="G755" s="46"/>
      <c r="H755" s="39"/>
      <c r="N755" s="30"/>
      <c r="Q755" s="30"/>
      <c r="T755" s="35"/>
      <c r="Z755" s="32"/>
      <c r="AA755" s="30"/>
      <c r="AB755" s="30"/>
      <c r="AF755" s="48"/>
      <c r="AG755" s="27"/>
      <c r="AH755" s="27"/>
      <c r="AI755" s="6"/>
      <c r="AJ755" s="30"/>
    </row>
    <row r="756" spans="7:36" x14ac:dyDescent="0.3">
      <c r="G756" s="46"/>
      <c r="H756" s="39"/>
      <c r="N756" s="30"/>
      <c r="Q756" s="30"/>
      <c r="T756" s="35"/>
      <c r="Z756" s="32"/>
      <c r="AA756" s="30"/>
      <c r="AB756" s="30"/>
      <c r="AF756" s="48"/>
      <c r="AG756" s="27"/>
      <c r="AH756" s="27"/>
      <c r="AI756" s="6"/>
      <c r="AJ756" s="30"/>
    </row>
    <row r="757" spans="7:36" x14ac:dyDescent="0.3">
      <c r="G757" s="46"/>
      <c r="H757" s="39"/>
      <c r="N757" s="30"/>
      <c r="Q757" s="30"/>
      <c r="T757" s="35"/>
      <c r="Z757" s="32"/>
      <c r="AA757" s="30"/>
      <c r="AB757" s="30"/>
      <c r="AF757" s="48"/>
      <c r="AG757" s="27"/>
      <c r="AH757" s="27"/>
      <c r="AI757" s="6"/>
      <c r="AJ757" s="30"/>
    </row>
    <row r="758" spans="7:36" x14ac:dyDescent="0.3">
      <c r="G758" s="46"/>
      <c r="H758" s="39"/>
      <c r="N758" s="30"/>
      <c r="Q758" s="30"/>
      <c r="T758" s="35"/>
      <c r="Z758" s="32"/>
      <c r="AA758" s="30"/>
      <c r="AB758" s="30"/>
      <c r="AF758" s="48"/>
      <c r="AG758" s="27"/>
      <c r="AH758" s="27"/>
      <c r="AI758" s="6"/>
      <c r="AJ758" s="30"/>
    </row>
    <row r="759" spans="7:36" x14ac:dyDescent="0.3">
      <c r="G759" s="46"/>
      <c r="H759" s="39"/>
      <c r="N759" s="30"/>
      <c r="Q759" s="30"/>
      <c r="T759" s="35"/>
      <c r="Z759" s="32"/>
      <c r="AA759" s="30"/>
      <c r="AB759" s="30"/>
      <c r="AF759" s="48"/>
      <c r="AG759" s="27"/>
      <c r="AH759" s="27"/>
      <c r="AI759" s="6"/>
      <c r="AJ759" s="30"/>
    </row>
    <row r="760" spans="7:36" x14ac:dyDescent="0.3">
      <c r="G760" s="46"/>
      <c r="H760" s="39"/>
      <c r="N760" s="30"/>
      <c r="Q760" s="30"/>
      <c r="T760" s="35"/>
      <c r="Z760" s="32"/>
      <c r="AA760" s="30"/>
      <c r="AB760" s="30"/>
      <c r="AF760" s="48"/>
      <c r="AG760" s="27"/>
      <c r="AH760" s="27"/>
      <c r="AI760" s="6"/>
      <c r="AJ760" s="30"/>
    </row>
    <row r="761" spans="7:36" x14ac:dyDescent="0.3">
      <c r="G761" s="46"/>
      <c r="H761" s="39"/>
      <c r="N761" s="30"/>
      <c r="Q761" s="30"/>
      <c r="T761" s="35"/>
      <c r="Z761" s="32"/>
      <c r="AA761" s="30"/>
      <c r="AB761" s="30"/>
      <c r="AF761" s="48"/>
      <c r="AG761" s="27"/>
      <c r="AH761" s="27"/>
      <c r="AI761" s="6"/>
      <c r="AJ761" s="30"/>
    </row>
    <row r="762" spans="7:36" x14ac:dyDescent="0.3">
      <c r="G762" s="46"/>
      <c r="H762" s="39"/>
      <c r="N762" s="30"/>
      <c r="Q762" s="30"/>
      <c r="T762" s="35"/>
      <c r="Z762" s="32"/>
      <c r="AA762" s="30"/>
      <c r="AB762" s="30"/>
      <c r="AF762" s="48"/>
      <c r="AG762" s="27"/>
      <c r="AH762" s="27"/>
      <c r="AI762" s="6"/>
      <c r="AJ762" s="30"/>
    </row>
    <row r="763" spans="7:36" x14ac:dyDescent="0.3">
      <c r="G763" s="46"/>
      <c r="H763" s="39"/>
      <c r="N763" s="30"/>
      <c r="Q763" s="30"/>
      <c r="T763" s="35"/>
      <c r="Z763" s="32"/>
      <c r="AA763" s="30"/>
      <c r="AB763" s="30"/>
      <c r="AF763" s="48"/>
      <c r="AG763" s="27"/>
      <c r="AH763" s="27"/>
      <c r="AI763" s="6"/>
      <c r="AJ763" s="30"/>
    </row>
    <row r="764" spans="7:36" x14ac:dyDescent="0.3">
      <c r="G764" s="46"/>
      <c r="H764" s="39"/>
      <c r="N764" s="30"/>
      <c r="Q764" s="30"/>
      <c r="T764" s="35"/>
      <c r="Z764" s="32"/>
      <c r="AA764" s="30"/>
      <c r="AB764" s="30"/>
      <c r="AF764" s="48"/>
      <c r="AG764" s="27"/>
      <c r="AH764" s="27"/>
      <c r="AI764" s="6"/>
      <c r="AJ764" s="30"/>
    </row>
    <row r="765" spans="7:36" x14ac:dyDescent="0.3">
      <c r="G765" s="46"/>
      <c r="H765" s="39"/>
      <c r="N765" s="30"/>
      <c r="Q765" s="30"/>
      <c r="T765" s="35"/>
      <c r="Z765" s="32"/>
      <c r="AA765" s="30"/>
      <c r="AB765" s="30"/>
      <c r="AF765" s="48"/>
      <c r="AG765" s="27"/>
      <c r="AH765" s="27"/>
      <c r="AI765" s="6"/>
      <c r="AJ765" s="30"/>
    </row>
    <row r="766" spans="7:36" x14ac:dyDescent="0.3">
      <c r="G766" s="46"/>
      <c r="H766" s="39"/>
      <c r="N766" s="30"/>
      <c r="Q766" s="30"/>
      <c r="T766" s="35"/>
      <c r="Z766" s="32"/>
      <c r="AA766" s="30"/>
      <c r="AB766" s="30"/>
      <c r="AF766" s="48"/>
      <c r="AG766" s="27"/>
      <c r="AH766" s="27"/>
      <c r="AI766" s="6"/>
      <c r="AJ766" s="30"/>
    </row>
    <row r="767" spans="7:36" x14ac:dyDescent="0.3">
      <c r="G767" s="46"/>
      <c r="H767" s="39"/>
      <c r="N767" s="30"/>
      <c r="Q767" s="30"/>
      <c r="T767" s="35"/>
      <c r="Z767" s="32"/>
      <c r="AA767" s="30"/>
      <c r="AB767" s="30"/>
      <c r="AF767" s="48"/>
      <c r="AG767" s="27"/>
      <c r="AH767" s="27"/>
      <c r="AI767" s="6"/>
      <c r="AJ767" s="30"/>
    </row>
    <row r="768" spans="7:36" x14ac:dyDescent="0.3">
      <c r="G768" s="46"/>
      <c r="H768" s="39"/>
      <c r="N768" s="30"/>
      <c r="Q768" s="30"/>
      <c r="T768" s="35"/>
      <c r="Z768" s="32"/>
      <c r="AA768" s="30"/>
      <c r="AB768" s="30"/>
      <c r="AF768" s="48"/>
      <c r="AG768" s="27"/>
      <c r="AH768" s="27"/>
      <c r="AI768" s="6"/>
      <c r="AJ768" s="30"/>
    </row>
    <row r="769" spans="7:36" x14ac:dyDescent="0.3">
      <c r="G769" s="46"/>
      <c r="H769" s="39"/>
      <c r="N769" s="30"/>
      <c r="Q769" s="30"/>
      <c r="T769" s="35"/>
      <c r="Z769" s="32"/>
      <c r="AA769" s="30"/>
      <c r="AB769" s="30"/>
      <c r="AF769" s="48"/>
      <c r="AG769" s="27"/>
      <c r="AH769" s="27"/>
      <c r="AI769" s="6"/>
      <c r="AJ769" s="30"/>
    </row>
    <row r="770" spans="7:36" x14ac:dyDescent="0.3">
      <c r="G770" s="46"/>
      <c r="H770" s="39"/>
      <c r="N770" s="30"/>
      <c r="Q770" s="30"/>
      <c r="T770" s="35"/>
      <c r="Z770" s="32"/>
      <c r="AA770" s="30"/>
      <c r="AB770" s="30"/>
      <c r="AF770" s="48"/>
      <c r="AG770" s="27"/>
      <c r="AH770" s="27"/>
      <c r="AI770" s="6"/>
      <c r="AJ770" s="30"/>
    </row>
    <row r="771" spans="7:36" x14ac:dyDescent="0.3">
      <c r="G771" s="46"/>
      <c r="H771" s="39"/>
      <c r="N771" s="30"/>
      <c r="Q771" s="30"/>
      <c r="T771" s="35"/>
      <c r="Z771" s="32"/>
      <c r="AA771" s="30"/>
      <c r="AB771" s="30"/>
      <c r="AF771" s="48"/>
      <c r="AG771" s="27"/>
      <c r="AH771" s="27"/>
      <c r="AI771" s="6"/>
      <c r="AJ771" s="30"/>
    </row>
    <row r="772" spans="7:36" x14ac:dyDescent="0.3">
      <c r="G772" s="46"/>
      <c r="H772" s="39"/>
      <c r="N772" s="30"/>
      <c r="Q772" s="30"/>
      <c r="T772" s="35"/>
      <c r="Z772" s="32"/>
      <c r="AA772" s="30"/>
      <c r="AB772" s="30"/>
      <c r="AF772" s="48"/>
      <c r="AG772" s="27"/>
      <c r="AH772" s="27"/>
      <c r="AI772" s="6"/>
      <c r="AJ772" s="30"/>
    </row>
    <row r="773" spans="7:36" x14ac:dyDescent="0.3">
      <c r="G773" s="46"/>
      <c r="H773" s="39"/>
      <c r="N773" s="30"/>
      <c r="Q773" s="30"/>
      <c r="T773" s="35"/>
      <c r="Z773" s="32"/>
      <c r="AA773" s="30"/>
      <c r="AB773" s="30"/>
      <c r="AF773" s="48"/>
      <c r="AG773" s="27"/>
      <c r="AH773" s="27"/>
      <c r="AI773" s="6"/>
      <c r="AJ773" s="30"/>
    </row>
    <row r="774" spans="7:36" x14ac:dyDescent="0.3">
      <c r="G774" s="46"/>
      <c r="H774" s="39"/>
      <c r="N774" s="30"/>
      <c r="Q774" s="30"/>
      <c r="T774" s="35"/>
      <c r="Z774" s="32"/>
      <c r="AA774" s="30"/>
      <c r="AB774" s="30"/>
      <c r="AF774" s="48"/>
      <c r="AG774" s="27"/>
      <c r="AH774" s="27"/>
      <c r="AI774" s="6"/>
      <c r="AJ774" s="30"/>
    </row>
    <row r="775" spans="7:36" x14ac:dyDescent="0.3">
      <c r="G775" s="46"/>
      <c r="H775" s="39"/>
      <c r="N775" s="30"/>
      <c r="Q775" s="30"/>
      <c r="T775" s="35"/>
      <c r="Z775" s="32"/>
      <c r="AA775" s="30"/>
      <c r="AB775" s="30"/>
      <c r="AF775" s="48"/>
      <c r="AG775" s="27"/>
      <c r="AH775" s="27"/>
      <c r="AI775" s="6"/>
      <c r="AJ775" s="30"/>
    </row>
    <row r="776" spans="7:36" x14ac:dyDescent="0.3">
      <c r="G776" s="46"/>
      <c r="H776" s="39"/>
      <c r="N776" s="30"/>
      <c r="Q776" s="30"/>
      <c r="T776" s="35"/>
      <c r="Z776" s="32"/>
      <c r="AA776" s="30"/>
      <c r="AB776" s="30"/>
      <c r="AF776" s="48"/>
      <c r="AG776" s="27"/>
      <c r="AH776" s="27"/>
      <c r="AI776" s="6"/>
      <c r="AJ776" s="30"/>
    </row>
    <row r="777" spans="7:36" x14ac:dyDescent="0.3">
      <c r="G777" s="46"/>
      <c r="H777" s="39"/>
      <c r="N777" s="30"/>
      <c r="Q777" s="30"/>
      <c r="T777" s="35"/>
      <c r="Z777" s="32"/>
      <c r="AA777" s="30"/>
      <c r="AB777" s="30"/>
      <c r="AF777" s="48"/>
      <c r="AG777" s="27"/>
      <c r="AH777" s="27"/>
      <c r="AI777" s="6"/>
      <c r="AJ777" s="30"/>
    </row>
    <row r="778" spans="7:36" x14ac:dyDescent="0.3">
      <c r="G778" s="46"/>
      <c r="H778" s="39"/>
      <c r="N778" s="30"/>
      <c r="Q778" s="30"/>
      <c r="T778" s="35"/>
      <c r="Z778" s="32"/>
      <c r="AA778" s="30"/>
      <c r="AB778" s="30"/>
      <c r="AF778" s="48"/>
      <c r="AG778" s="27"/>
      <c r="AH778" s="27"/>
      <c r="AI778" s="6"/>
      <c r="AJ778" s="30"/>
    </row>
    <row r="779" spans="7:36" x14ac:dyDescent="0.3">
      <c r="G779" s="46"/>
      <c r="H779" s="39"/>
      <c r="N779" s="30"/>
      <c r="Q779" s="30"/>
      <c r="T779" s="35"/>
      <c r="Z779" s="32"/>
      <c r="AA779" s="30"/>
      <c r="AB779" s="30"/>
      <c r="AF779" s="48"/>
      <c r="AG779" s="27"/>
      <c r="AH779" s="27"/>
      <c r="AI779" s="6"/>
      <c r="AJ779" s="30"/>
    </row>
    <row r="780" spans="7:36" x14ac:dyDescent="0.3">
      <c r="G780" s="46"/>
      <c r="H780" s="39"/>
      <c r="N780" s="30"/>
      <c r="Q780" s="30"/>
      <c r="T780" s="35"/>
      <c r="Z780" s="32"/>
      <c r="AA780" s="30"/>
      <c r="AB780" s="30"/>
      <c r="AF780" s="48"/>
      <c r="AG780" s="27"/>
      <c r="AH780" s="27"/>
      <c r="AI780" s="6"/>
      <c r="AJ780" s="30"/>
    </row>
    <row r="781" spans="7:36" x14ac:dyDescent="0.3">
      <c r="G781" s="46"/>
      <c r="H781" s="39"/>
      <c r="N781" s="30"/>
      <c r="Q781" s="30"/>
      <c r="T781" s="35"/>
      <c r="Z781" s="32"/>
      <c r="AA781" s="30"/>
      <c r="AB781" s="30"/>
      <c r="AF781" s="48"/>
      <c r="AG781" s="27"/>
      <c r="AH781" s="27"/>
      <c r="AI781" s="6"/>
      <c r="AJ781" s="30"/>
    </row>
    <row r="782" spans="7:36" x14ac:dyDescent="0.3">
      <c r="G782" s="46"/>
      <c r="H782" s="39"/>
      <c r="N782" s="30"/>
      <c r="Q782" s="30"/>
      <c r="T782" s="35"/>
      <c r="Z782" s="32"/>
      <c r="AA782" s="30"/>
      <c r="AB782" s="30"/>
      <c r="AF782" s="48"/>
      <c r="AG782" s="27"/>
      <c r="AH782" s="27"/>
      <c r="AI782" s="6"/>
      <c r="AJ782" s="30"/>
    </row>
    <row r="783" spans="7:36" x14ac:dyDescent="0.3">
      <c r="G783" s="46"/>
      <c r="H783" s="39"/>
      <c r="N783" s="30"/>
      <c r="Q783" s="30"/>
      <c r="T783" s="35"/>
      <c r="Z783" s="32"/>
      <c r="AA783" s="30"/>
      <c r="AB783" s="30"/>
      <c r="AF783" s="48"/>
      <c r="AG783" s="27"/>
      <c r="AH783" s="27"/>
      <c r="AI783" s="6"/>
      <c r="AJ783" s="30"/>
    </row>
    <row r="784" spans="7:36" x14ac:dyDescent="0.3">
      <c r="G784" s="46"/>
      <c r="H784" s="39"/>
      <c r="N784" s="30"/>
      <c r="Q784" s="30"/>
      <c r="T784" s="35"/>
      <c r="Z784" s="32"/>
      <c r="AA784" s="30"/>
      <c r="AB784" s="30"/>
      <c r="AF784" s="48"/>
      <c r="AG784" s="27"/>
      <c r="AH784" s="27"/>
      <c r="AI784" s="6"/>
      <c r="AJ784" s="30"/>
    </row>
    <row r="785" spans="7:36" x14ac:dyDescent="0.3">
      <c r="G785" s="46"/>
      <c r="H785" s="39"/>
      <c r="N785" s="30"/>
      <c r="Q785" s="30"/>
      <c r="T785" s="35"/>
      <c r="Z785" s="32"/>
      <c r="AA785" s="30"/>
      <c r="AB785" s="30"/>
      <c r="AF785" s="48"/>
      <c r="AG785" s="27"/>
      <c r="AH785" s="27"/>
      <c r="AI785" s="6"/>
      <c r="AJ785" s="30"/>
    </row>
    <row r="786" spans="7:36" x14ac:dyDescent="0.3">
      <c r="G786" s="46"/>
      <c r="H786" s="39"/>
      <c r="N786" s="30"/>
      <c r="Q786" s="30"/>
      <c r="T786" s="35"/>
      <c r="Z786" s="32"/>
      <c r="AA786" s="30"/>
      <c r="AB786" s="30"/>
      <c r="AF786" s="48"/>
      <c r="AG786" s="27"/>
      <c r="AH786" s="27"/>
      <c r="AI786" s="6"/>
      <c r="AJ786" s="30"/>
    </row>
    <row r="787" spans="7:36" x14ac:dyDescent="0.3">
      <c r="G787" s="46"/>
      <c r="H787" s="39"/>
      <c r="N787" s="30"/>
      <c r="Q787" s="30"/>
      <c r="T787" s="35"/>
      <c r="Z787" s="32"/>
      <c r="AA787" s="30"/>
      <c r="AB787" s="30"/>
      <c r="AF787" s="48"/>
      <c r="AG787" s="27"/>
      <c r="AH787" s="27"/>
      <c r="AI787" s="6"/>
      <c r="AJ787" s="30"/>
    </row>
    <row r="788" spans="7:36" x14ac:dyDescent="0.3">
      <c r="G788" s="46"/>
      <c r="H788" s="39"/>
      <c r="N788" s="30"/>
      <c r="Q788" s="30"/>
      <c r="T788" s="35"/>
      <c r="Z788" s="32"/>
      <c r="AA788" s="30"/>
      <c r="AB788" s="30"/>
      <c r="AF788" s="48"/>
      <c r="AG788" s="27"/>
      <c r="AH788" s="27"/>
      <c r="AI788" s="6"/>
      <c r="AJ788" s="30"/>
    </row>
    <row r="789" spans="7:36" x14ac:dyDescent="0.3">
      <c r="G789" s="46"/>
      <c r="H789" s="39"/>
      <c r="N789" s="30"/>
      <c r="Q789" s="30"/>
      <c r="T789" s="35"/>
      <c r="Z789" s="32"/>
      <c r="AA789" s="30"/>
      <c r="AB789" s="30"/>
      <c r="AF789" s="48"/>
      <c r="AG789" s="27"/>
      <c r="AH789" s="27"/>
      <c r="AI789" s="6"/>
      <c r="AJ789" s="30"/>
    </row>
    <row r="790" spans="7:36" x14ac:dyDescent="0.3">
      <c r="G790" s="46"/>
      <c r="H790" s="39"/>
      <c r="N790" s="30"/>
      <c r="Q790" s="30"/>
      <c r="T790" s="35"/>
      <c r="Z790" s="32"/>
      <c r="AA790" s="30"/>
      <c r="AB790" s="30"/>
      <c r="AF790" s="48"/>
      <c r="AG790" s="27"/>
      <c r="AH790" s="27"/>
      <c r="AI790" s="6"/>
      <c r="AJ790" s="30"/>
    </row>
    <row r="791" spans="7:36" x14ac:dyDescent="0.3">
      <c r="G791" s="46"/>
      <c r="H791" s="39"/>
      <c r="N791" s="30"/>
      <c r="Q791" s="30"/>
      <c r="T791" s="35"/>
      <c r="Z791" s="32"/>
      <c r="AA791" s="30"/>
      <c r="AB791" s="30"/>
      <c r="AF791" s="48"/>
      <c r="AG791" s="27"/>
      <c r="AH791" s="27"/>
      <c r="AI791" s="6"/>
      <c r="AJ791" s="30"/>
    </row>
    <row r="792" spans="7:36" x14ac:dyDescent="0.3">
      <c r="G792" s="46"/>
      <c r="H792" s="39"/>
      <c r="N792" s="30"/>
      <c r="Q792" s="30"/>
      <c r="T792" s="35"/>
      <c r="Z792" s="32"/>
      <c r="AA792" s="30"/>
      <c r="AB792" s="30"/>
      <c r="AF792" s="48"/>
      <c r="AG792" s="27"/>
      <c r="AH792" s="27"/>
      <c r="AI792" s="6"/>
      <c r="AJ792" s="30"/>
    </row>
    <row r="793" spans="7:36" x14ac:dyDescent="0.3">
      <c r="G793" s="46"/>
      <c r="H793" s="39"/>
      <c r="N793" s="30"/>
      <c r="Q793" s="30"/>
      <c r="T793" s="35"/>
      <c r="Z793" s="32"/>
      <c r="AA793" s="30"/>
      <c r="AB793" s="30"/>
      <c r="AF793" s="48"/>
      <c r="AG793" s="27"/>
      <c r="AH793" s="27"/>
      <c r="AI793" s="6"/>
      <c r="AJ793" s="30"/>
    </row>
    <row r="794" spans="7:36" x14ac:dyDescent="0.3">
      <c r="G794" s="46"/>
      <c r="H794" s="39"/>
      <c r="N794" s="30"/>
      <c r="Q794" s="30"/>
      <c r="T794" s="35"/>
      <c r="Z794" s="32"/>
      <c r="AA794" s="30"/>
      <c r="AB794" s="30"/>
      <c r="AF794" s="48"/>
      <c r="AG794" s="27"/>
      <c r="AH794" s="27"/>
      <c r="AI794" s="6"/>
      <c r="AJ794" s="30"/>
    </row>
    <row r="795" spans="7:36" x14ac:dyDescent="0.3">
      <c r="G795" s="46"/>
      <c r="H795" s="39"/>
      <c r="N795" s="30"/>
      <c r="Q795" s="30"/>
      <c r="T795" s="35"/>
      <c r="Z795" s="32"/>
      <c r="AA795" s="30"/>
      <c r="AB795" s="30"/>
      <c r="AF795" s="48"/>
      <c r="AG795" s="27"/>
      <c r="AH795" s="27"/>
      <c r="AI795" s="6"/>
      <c r="AJ795" s="30"/>
    </row>
    <row r="796" spans="7:36" x14ac:dyDescent="0.3">
      <c r="G796" s="46"/>
      <c r="H796" s="39"/>
      <c r="N796" s="30"/>
      <c r="Q796" s="30"/>
      <c r="T796" s="35"/>
      <c r="Z796" s="32"/>
      <c r="AA796" s="30"/>
      <c r="AB796" s="30"/>
      <c r="AF796" s="48"/>
      <c r="AG796" s="27"/>
      <c r="AH796" s="27"/>
      <c r="AI796" s="6"/>
      <c r="AJ796" s="30"/>
    </row>
    <row r="797" spans="7:36" x14ac:dyDescent="0.3">
      <c r="G797" s="46"/>
      <c r="H797" s="39"/>
      <c r="N797" s="30"/>
      <c r="Q797" s="30"/>
      <c r="T797" s="35"/>
      <c r="Z797" s="32"/>
      <c r="AA797" s="30"/>
      <c r="AB797" s="30"/>
      <c r="AF797" s="48"/>
      <c r="AG797" s="27"/>
      <c r="AH797" s="27"/>
      <c r="AI797" s="6"/>
      <c r="AJ797" s="30"/>
    </row>
    <row r="798" spans="7:36" x14ac:dyDescent="0.3">
      <c r="G798" s="46"/>
      <c r="H798" s="39"/>
      <c r="N798" s="30"/>
      <c r="Q798" s="30"/>
      <c r="T798" s="35"/>
      <c r="Z798" s="32"/>
      <c r="AA798" s="30"/>
      <c r="AB798" s="30"/>
      <c r="AF798" s="48"/>
      <c r="AG798" s="27"/>
      <c r="AH798" s="27"/>
      <c r="AI798" s="6"/>
      <c r="AJ798" s="30"/>
    </row>
    <row r="799" spans="7:36" x14ac:dyDescent="0.3">
      <c r="G799" s="46"/>
      <c r="H799" s="39"/>
      <c r="N799" s="30"/>
      <c r="Q799" s="30"/>
      <c r="T799" s="35"/>
      <c r="Z799" s="32"/>
      <c r="AA799" s="30"/>
      <c r="AB799" s="30"/>
      <c r="AF799" s="48"/>
      <c r="AG799" s="27"/>
      <c r="AH799" s="27"/>
      <c r="AI799" s="6"/>
      <c r="AJ799" s="30"/>
    </row>
    <row r="800" spans="7:36" x14ac:dyDescent="0.3">
      <c r="G800" s="46"/>
      <c r="H800" s="39"/>
      <c r="N800" s="30"/>
      <c r="Q800" s="30"/>
      <c r="T800" s="35"/>
      <c r="Z800" s="32"/>
      <c r="AA800" s="30"/>
      <c r="AB800" s="30"/>
      <c r="AF800" s="48"/>
      <c r="AG800" s="27"/>
      <c r="AH800" s="27"/>
      <c r="AI800" s="6"/>
      <c r="AJ800" s="30"/>
    </row>
    <row r="801" spans="7:36" x14ac:dyDescent="0.3">
      <c r="G801" s="46"/>
      <c r="H801" s="39"/>
      <c r="N801" s="30"/>
      <c r="Q801" s="30"/>
      <c r="T801" s="35"/>
      <c r="Z801" s="32"/>
      <c r="AA801" s="30"/>
      <c r="AB801" s="30"/>
      <c r="AF801" s="48"/>
      <c r="AG801" s="27"/>
      <c r="AH801" s="27"/>
      <c r="AI801" s="6"/>
      <c r="AJ801" s="30"/>
    </row>
    <row r="802" spans="7:36" x14ac:dyDescent="0.3">
      <c r="G802" s="46"/>
      <c r="H802" s="39"/>
      <c r="N802" s="30"/>
      <c r="Q802" s="30"/>
      <c r="T802" s="35"/>
      <c r="Z802" s="32"/>
      <c r="AA802" s="30"/>
      <c r="AB802" s="30"/>
      <c r="AF802" s="48"/>
      <c r="AG802" s="27"/>
      <c r="AH802" s="27"/>
      <c r="AI802" s="6"/>
      <c r="AJ802" s="30"/>
    </row>
    <row r="803" spans="7:36" x14ac:dyDescent="0.3">
      <c r="G803" s="46"/>
      <c r="H803" s="39"/>
      <c r="N803" s="30"/>
      <c r="Q803" s="30"/>
      <c r="T803" s="35"/>
      <c r="Z803" s="32"/>
      <c r="AA803" s="30"/>
      <c r="AB803" s="30"/>
      <c r="AF803" s="48"/>
      <c r="AG803" s="27"/>
      <c r="AH803" s="27"/>
      <c r="AI803" s="6"/>
      <c r="AJ803" s="30"/>
    </row>
    <row r="804" spans="7:36" x14ac:dyDescent="0.3">
      <c r="G804" s="46"/>
      <c r="H804" s="39"/>
      <c r="N804" s="30"/>
      <c r="Q804" s="30"/>
      <c r="T804" s="35"/>
      <c r="Z804" s="32"/>
      <c r="AA804" s="30"/>
      <c r="AB804" s="30"/>
      <c r="AF804" s="48"/>
      <c r="AG804" s="27"/>
      <c r="AH804" s="27"/>
      <c r="AI804" s="6"/>
      <c r="AJ804" s="30"/>
    </row>
    <row r="805" spans="7:36" x14ac:dyDescent="0.3">
      <c r="G805" s="46"/>
      <c r="H805" s="39"/>
      <c r="N805" s="30"/>
      <c r="Q805" s="30"/>
      <c r="T805" s="35"/>
      <c r="Z805" s="32"/>
      <c r="AA805" s="30"/>
      <c r="AB805" s="30"/>
      <c r="AF805" s="48"/>
      <c r="AG805" s="27"/>
      <c r="AH805" s="27"/>
      <c r="AI805" s="6"/>
      <c r="AJ805" s="30"/>
    </row>
    <row r="806" spans="7:36" x14ac:dyDescent="0.3">
      <c r="G806" s="46"/>
      <c r="H806" s="39"/>
      <c r="N806" s="30"/>
      <c r="Q806" s="30"/>
      <c r="T806" s="35"/>
      <c r="Z806" s="32"/>
      <c r="AA806" s="30"/>
      <c r="AB806" s="30"/>
      <c r="AF806" s="48"/>
      <c r="AG806" s="27"/>
      <c r="AH806" s="27"/>
      <c r="AI806" s="6"/>
      <c r="AJ806" s="30"/>
    </row>
    <row r="807" spans="7:36" x14ac:dyDescent="0.3">
      <c r="G807" s="46"/>
      <c r="H807" s="39"/>
      <c r="N807" s="30"/>
      <c r="Q807" s="30"/>
      <c r="T807" s="35"/>
      <c r="Z807" s="32"/>
      <c r="AA807" s="30"/>
      <c r="AB807" s="30"/>
      <c r="AF807" s="48"/>
      <c r="AG807" s="27"/>
      <c r="AH807" s="27"/>
      <c r="AI807" s="6"/>
      <c r="AJ807" s="30"/>
    </row>
    <row r="808" spans="7:36" x14ac:dyDescent="0.3">
      <c r="G808" s="46"/>
      <c r="H808" s="39"/>
      <c r="N808" s="30"/>
      <c r="Q808" s="30"/>
      <c r="T808" s="35"/>
      <c r="Z808" s="32"/>
      <c r="AA808" s="30"/>
      <c r="AB808" s="30"/>
      <c r="AF808" s="48"/>
      <c r="AG808" s="27"/>
      <c r="AH808" s="27"/>
      <c r="AI808" s="6"/>
      <c r="AJ808" s="30"/>
    </row>
    <row r="809" spans="7:36" x14ac:dyDescent="0.3">
      <c r="G809" s="46"/>
      <c r="H809" s="39"/>
      <c r="N809" s="30"/>
      <c r="Q809" s="30"/>
      <c r="T809" s="35"/>
      <c r="Z809" s="32"/>
      <c r="AA809" s="30"/>
      <c r="AB809" s="30"/>
      <c r="AF809" s="48"/>
      <c r="AG809" s="27"/>
      <c r="AH809" s="27"/>
      <c r="AI809" s="6"/>
      <c r="AJ809" s="30"/>
    </row>
    <row r="810" spans="7:36" x14ac:dyDescent="0.3">
      <c r="G810" s="46"/>
      <c r="H810" s="39"/>
      <c r="N810" s="30"/>
      <c r="Q810" s="30"/>
      <c r="T810" s="35"/>
      <c r="Z810" s="32"/>
      <c r="AA810" s="30"/>
      <c r="AB810" s="30"/>
      <c r="AF810" s="48"/>
      <c r="AG810" s="27"/>
      <c r="AH810" s="27"/>
      <c r="AI810" s="6"/>
      <c r="AJ810" s="30"/>
    </row>
    <row r="811" spans="7:36" x14ac:dyDescent="0.3">
      <c r="G811" s="46"/>
      <c r="H811" s="39"/>
      <c r="N811" s="30"/>
      <c r="Q811" s="30"/>
      <c r="T811" s="35"/>
      <c r="Z811" s="32"/>
      <c r="AA811" s="30"/>
      <c r="AB811" s="30"/>
      <c r="AF811" s="48"/>
      <c r="AG811" s="27"/>
      <c r="AH811" s="27"/>
      <c r="AI811" s="6"/>
      <c r="AJ811" s="30"/>
    </row>
    <row r="812" spans="7:36" x14ac:dyDescent="0.3">
      <c r="G812" s="46"/>
      <c r="H812" s="39"/>
      <c r="N812" s="30"/>
      <c r="Q812" s="30"/>
      <c r="T812" s="35"/>
      <c r="Z812" s="32"/>
      <c r="AA812" s="30"/>
      <c r="AB812" s="30"/>
      <c r="AF812" s="48"/>
      <c r="AG812" s="27"/>
      <c r="AH812" s="27"/>
      <c r="AI812" s="6"/>
      <c r="AJ812" s="30"/>
    </row>
    <row r="813" spans="7:36" x14ac:dyDescent="0.3">
      <c r="G813" s="46"/>
      <c r="H813" s="39"/>
      <c r="N813" s="30"/>
      <c r="Q813" s="30"/>
      <c r="T813" s="35"/>
      <c r="Z813" s="32"/>
      <c r="AA813" s="30"/>
      <c r="AB813" s="30"/>
      <c r="AF813" s="48"/>
      <c r="AG813" s="27"/>
      <c r="AH813" s="27"/>
      <c r="AI813" s="6"/>
      <c r="AJ813" s="30"/>
    </row>
    <row r="814" spans="7:36" x14ac:dyDescent="0.3">
      <c r="G814" s="46"/>
      <c r="H814" s="39"/>
      <c r="N814" s="30"/>
      <c r="Q814" s="30"/>
      <c r="T814" s="35"/>
      <c r="Z814" s="32"/>
      <c r="AA814" s="30"/>
      <c r="AB814" s="30"/>
      <c r="AF814" s="48"/>
      <c r="AG814" s="27"/>
      <c r="AH814" s="27"/>
      <c r="AI814" s="6"/>
      <c r="AJ814" s="30"/>
    </row>
    <row r="815" spans="7:36" x14ac:dyDescent="0.3">
      <c r="G815" s="46"/>
      <c r="H815" s="39"/>
      <c r="N815" s="30"/>
      <c r="Q815" s="30"/>
      <c r="T815" s="35"/>
      <c r="Z815" s="32"/>
      <c r="AA815" s="30"/>
      <c r="AB815" s="30"/>
      <c r="AF815" s="48"/>
      <c r="AG815" s="27"/>
      <c r="AH815" s="27"/>
      <c r="AI815" s="6"/>
      <c r="AJ815" s="30"/>
    </row>
    <row r="816" spans="7:36" x14ac:dyDescent="0.3">
      <c r="G816" s="46"/>
      <c r="H816" s="39"/>
      <c r="N816" s="30"/>
      <c r="Q816" s="30"/>
      <c r="T816" s="35"/>
      <c r="Z816" s="32"/>
      <c r="AA816" s="30"/>
      <c r="AB816" s="30"/>
      <c r="AF816" s="48"/>
      <c r="AG816" s="27"/>
      <c r="AH816" s="27"/>
      <c r="AI816" s="6"/>
      <c r="AJ816" s="30"/>
    </row>
    <row r="817" spans="7:36" x14ac:dyDescent="0.3">
      <c r="G817" s="46"/>
      <c r="H817" s="39"/>
      <c r="N817" s="30"/>
      <c r="Q817" s="30"/>
      <c r="T817" s="35"/>
      <c r="Z817" s="32"/>
      <c r="AA817" s="30"/>
      <c r="AB817" s="30"/>
      <c r="AF817" s="48"/>
      <c r="AG817" s="27"/>
      <c r="AH817" s="27"/>
      <c r="AI817" s="6"/>
      <c r="AJ817" s="30"/>
    </row>
    <row r="818" spans="7:36" x14ac:dyDescent="0.3">
      <c r="G818" s="46"/>
      <c r="H818" s="39"/>
      <c r="N818" s="30"/>
      <c r="Q818" s="30"/>
      <c r="T818" s="35"/>
      <c r="Z818" s="32"/>
      <c r="AA818" s="30"/>
      <c r="AB818" s="30"/>
      <c r="AF818" s="48"/>
      <c r="AG818" s="27"/>
      <c r="AH818" s="27"/>
      <c r="AI818" s="6"/>
      <c r="AJ818" s="30"/>
    </row>
    <row r="819" spans="7:36" x14ac:dyDescent="0.3">
      <c r="G819" s="46"/>
      <c r="H819" s="39"/>
      <c r="N819" s="30"/>
      <c r="Q819" s="30"/>
      <c r="T819" s="35"/>
      <c r="Z819" s="32"/>
      <c r="AA819" s="30"/>
      <c r="AB819" s="30"/>
      <c r="AF819" s="48"/>
      <c r="AG819" s="27"/>
      <c r="AH819" s="27"/>
      <c r="AI819" s="6"/>
      <c r="AJ819" s="30"/>
    </row>
    <row r="820" spans="7:36" x14ac:dyDescent="0.3">
      <c r="G820" s="46"/>
      <c r="H820" s="39"/>
      <c r="N820" s="30"/>
      <c r="Q820" s="30"/>
      <c r="T820" s="35"/>
      <c r="Z820" s="32"/>
      <c r="AA820" s="30"/>
      <c r="AB820" s="30"/>
      <c r="AF820" s="48"/>
      <c r="AG820" s="27"/>
      <c r="AH820" s="27"/>
      <c r="AI820" s="6"/>
      <c r="AJ820" s="30"/>
    </row>
    <row r="821" spans="7:36" x14ac:dyDescent="0.3">
      <c r="G821" s="46"/>
      <c r="H821" s="39"/>
      <c r="N821" s="30"/>
      <c r="Q821" s="30"/>
      <c r="T821" s="35"/>
      <c r="Z821" s="32"/>
      <c r="AA821" s="30"/>
      <c r="AB821" s="30"/>
      <c r="AF821" s="48"/>
      <c r="AG821" s="27"/>
      <c r="AH821" s="27"/>
      <c r="AI821" s="6"/>
      <c r="AJ821" s="30"/>
    </row>
    <row r="822" spans="7:36" x14ac:dyDescent="0.3">
      <c r="G822" s="46"/>
      <c r="H822" s="39"/>
      <c r="N822" s="30"/>
      <c r="Q822" s="30"/>
      <c r="T822" s="35"/>
      <c r="Z822" s="32"/>
      <c r="AA822" s="30"/>
      <c r="AB822" s="30"/>
      <c r="AF822" s="48"/>
      <c r="AG822" s="27"/>
      <c r="AH822" s="27"/>
      <c r="AI822" s="6"/>
      <c r="AJ822" s="30"/>
    </row>
    <row r="823" spans="7:36" x14ac:dyDescent="0.3">
      <c r="G823" s="46"/>
      <c r="H823" s="39"/>
      <c r="N823" s="30"/>
      <c r="Q823" s="30"/>
      <c r="T823" s="35"/>
      <c r="Z823" s="32"/>
      <c r="AA823" s="30"/>
      <c r="AB823" s="30"/>
      <c r="AF823" s="48"/>
      <c r="AG823" s="27"/>
      <c r="AH823" s="27"/>
      <c r="AI823" s="6"/>
      <c r="AJ823" s="30"/>
    </row>
    <row r="824" spans="7:36" x14ac:dyDescent="0.3">
      <c r="G824" s="46"/>
      <c r="H824" s="39"/>
      <c r="N824" s="30"/>
      <c r="Q824" s="30"/>
      <c r="T824" s="35"/>
      <c r="Z824" s="32"/>
      <c r="AA824" s="30"/>
      <c r="AB824" s="30"/>
      <c r="AF824" s="48"/>
      <c r="AG824" s="27"/>
      <c r="AH824" s="27"/>
      <c r="AI824" s="6"/>
      <c r="AJ824" s="30"/>
    </row>
    <row r="825" spans="7:36" x14ac:dyDescent="0.3">
      <c r="G825" s="46"/>
      <c r="H825" s="39"/>
      <c r="N825" s="30"/>
      <c r="Q825" s="30"/>
      <c r="T825" s="35"/>
      <c r="Z825" s="32"/>
      <c r="AA825" s="30"/>
      <c r="AB825" s="30"/>
      <c r="AF825" s="48"/>
      <c r="AG825" s="27"/>
      <c r="AH825" s="27"/>
      <c r="AI825" s="6"/>
      <c r="AJ825" s="30"/>
    </row>
    <row r="826" spans="7:36" x14ac:dyDescent="0.3">
      <c r="G826" s="46"/>
      <c r="H826" s="39"/>
      <c r="N826" s="30"/>
      <c r="Q826" s="30"/>
      <c r="T826" s="35"/>
      <c r="Z826" s="32"/>
      <c r="AA826" s="30"/>
      <c r="AB826" s="30"/>
      <c r="AF826" s="48"/>
      <c r="AG826" s="27"/>
      <c r="AH826" s="27"/>
      <c r="AI826" s="6"/>
      <c r="AJ826" s="30"/>
    </row>
    <row r="827" spans="7:36" x14ac:dyDescent="0.3">
      <c r="G827" s="46"/>
      <c r="H827" s="39"/>
      <c r="N827" s="30"/>
      <c r="Q827" s="30"/>
      <c r="T827" s="35"/>
      <c r="Z827" s="32"/>
      <c r="AA827" s="30"/>
      <c r="AB827" s="30"/>
      <c r="AF827" s="48"/>
      <c r="AG827" s="27"/>
      <c r="AH827" s="27"/>
      <c r="AI827" s="6"/>
      <c r="AJ827" s="30"/>
    </row>
    <row r="828" spans="7:36" x14ac:dyDescent="0.3">
      <c r="G828" s="46"/>
      <c r="H828" s="39"/>
      <c r="N828" s="30"/>
      <c r="Q828" s="30"/>
      <c r="T828" s="35"/>
      <c r="Z828" s="32"/>
      <c r="AA828" s="30"/>
      <c r="AB828" s="30"/>
      <c r="AF828" s="48"/>
      <c r="AG828" s="27"/>
      <c r="AH828" s="27"/>
      <c r="AI828" s="6"/>
      <c r="AJ828" s="30"/>
    </row>
    <row r="829" spans="7:36" x14ac:dyDescent="0.3">
      <c r="G829" s="46"/>
      <c r="H829" s="39"/>
      <c r="N829" s="30"/>
      <c r="Q829" s="30"/>
      <c r="T829" s="35"/>
      <c r="Z829" s="32"/>
      <c r="AA829" s="30"/>
      <c r="AB829" s="30"/>
      <c r="AF829" s="48"/>
      <c r="AG829" s="27"/>
      <c r="AH829" s="27"/>
      <c r="AI829" s="6"/>
      <c r="AJ829" s="30"/>
    </row>
    <row r="830" spans="7:36" x14ac:dyDescent="0.3">
      <c r="G830" s="46"/>
      <c r="H830" s="39"/>
      <c r="N830" s="30"/>
      <c r="Q830" s="30"/>
      <c r="T830" s="35"/>
      <c r="Z830" s="32"/>
      <c r="AA830" s="30"/>
      <c r="AB830" s="30"/>
      <c r="AF830" s="48"/>
      <c r="AG830" s="27"/>
      <c r="AH830" s="27"/>
      <c r="AI830" s="6"/>
      <c r="AJ830" s="30"/>
    </row>
    <row r="831" spans="7:36" x14ac:dyDescent="0.3">
      <c r="G831" s="46"/>
      <c r="H831" s="39"/>
      <c r="N831" s="30"/>
      <c r="Q831" s="30"/>
      <c r="T831" s="35"/>
      <c r="Z831" s="32"/>
      <c r="AA831" s="30"/>
      <c r="AB831" s="30"/>
      <c r="AF831" s="48"/>
      <c r="AG831" s="27"/>
      <c r="AH831" s="27"/>
      <c r="AI831" s="6"/>
      <c r="AJ831" s="30"/>
    </row>
    <row r="832" spans="7:36" x14ac:dyDescent="0.3">
      <c r="G832" s="46"/>
      <c r="H832" s="39"/>
      <c r="N832" s="30"/>
      <c r="Q832" s="30"/>
      <c r="T832" s="35"/>
      <c r="Z832" s="32"/>
      <c r="AA832" s="30"/>
      <c r="AB832" s="30"/>
      <c r="AF832" s="48"/>
      <c r="AG832" s="27"/>
      <c r="AH832" s="27"/>
      <c r="AI832" s="6"/>
      <c r="AJ832" s="30"/>
    </row>
    <row r="833" spans="7:36" x14ac:dyDescent="0.3">
      <c r="G833" s="46"/>
      <c r="H833" s="39"/>
      <c r="N833" s="30"/>
      <c r="Q833" s="30"/>
      <c r="T833" s="35"/>
      <c r="Z833" s="32"/>
      <c r="AA833" s="30"/>
      <c r="AB833" s="30"/>
      <c r="AF833" s="48"/>
      <c r="AG833" s="27"/>
      <c r="AH833" s="27"/>
      <c r="AI833" s="6"/>
      <c r="AJ833" s="30"/>
    </row>
    <row r="834" spans="7:36" x14ac:dyDescent="0.3">
      <c r="G834" s="46"/>
      <c r="H834" s="39"/>
      <c r="N834" s="30"/>
      <c r="Q834" s="30"/>
      <c r="T834" s="35"/>
      <c r="Z834" s="32"/>
      <c r="AA834" s="30"/>
      <c r="AB834" s="30"/>
      <c r="AF834" s="48"/>
      <c r="AG834" s="27"/>
      <c r="AH834" s="27"/>
      <c r="AI834" s="6"/>
      <c r="AJ834" s="30"/>
    </row>
    <row r="835" spans="7:36" x14ac:dyDescent="0.3">
      <c r="G835" s="46"/>
      <c r="H835" s="39"/>
      <c r="N835" s="30"/>
      <c r="Q835" s="30"/>
      <c r="T835" s="35"/>
      <c r="Z835" s="32"/>
      <c r="AA835" s="30"/>
      <c r="AB835" s="30"/>
      <c r="AF835" s="48"/>
      <c r="AG835" s="27"/>
      <c r="AH835" s="27"/>
      <c r="AI835" s="6"/>
      <c r="AJ835" s="30"/>
    </row>
    <row r="836" spans="7:36" x14ac:dyDescent="0.3">
      <c r="G836" s="46"/>
      <c r="H836" s="39"/>
      <c r="N836" s="30"/>
      <c r="Q836" s="30"/>
      <c r="T836" s="35"/>
      <c r="Z836" s="32"/>
      <c r="AA836" s="30"/>
      <c r="AB836" s="30"/>
      <c r="AF836" s="48"/>
      <c r="AG836" s="27"/>
      <c r="AH836" s="27"/>
      <c r="AI836" s="6"/>
      <c r="AJ836" s="30"/>
    </row>
    <row r="837" spans="7:36" x14ac:dyDescent="0.3">
      <c r="G837" s="46"/>
      <c r="H837" s="39"/>
      <c r="N837" s="30"/>
      <c r="Q837" s="30"/>
      <c r="T837" s="35"/>
      <c r="Z837" s="32"/>
      <c r="AA837" s="30"/>
      <c r="AB837" s="30"/>
      <c r="AF837" s="48"/>
      <c r="AG837" s="27"/>
      <c r="AH837" s="27"/>
      <c r="AI837" s="6"/>
      <c r="AJ837" s="30"/>
    </row>
    <row r="838" spans="7:36" x14ac:dyDescent="0.3">
      <c r="G838" s="46"/>
      <c r="H838" s="39"/>
      <c r="N838" s="30"/>
      <c r="Q838" s="30"/>
      <c r="T838" s="35"/>
      <c r="Z838" s="32"/>
      <c r="AA838" s="30"/>
      <c r="AB838" s="30"/>
      <c r="AF838" s="48"/>
      <c r="AG838" s="27"/>
      <c r="AH838" s="27"/>
      <c r="AI838" s="6"/>
      <c r="AJ838" s="30"/>
    </row>
    <row r="839" spans="7:36" x14ac:dyDescent="0.3">
      <c r="G839" s="46"/>
      <c r="H839" s="39"/>
      <c r="N839" s="30"/>
      <c r="Q839" s="30"/>
      <c r="T839" s="35"/>
      <c r="Z839" s="32"/>
      <c r="AA839" s="30"/>
      <c r="AB839" s="30"/>
      <c r="AF839" s="48"/>
      <c r="AG839" s="27"/>
      <c r="AH839" s="27"/>
      <c r="AI839" s="6"/>
      <c r="AJ839" s="30"/>
    </row>
    <row r="840" spans="7:36" x14ac:dyDescent="0.3">
      <c r="G840" s="46"/>
      <c r="H840" s="39"/>
      <c r="N840" s="30"/>
      <c r="Q840" s="30"/>
      <c r="T840" s="35"/>
      <c r="Z840" s="32"/>
      <c r="AA840" s="30"/>
      <c r="AB840" s="30"/>
      <c r="AF840" s="48"/>
      <c r="AG840" s="27"/>
      <c r="AH840" s="27"/>
      <c r="AI840" s="6"/>
      <c r="AJ840" s="30"/>
    </row>
    <row r="841" spans="7:36" x14ac:dyDescent="0.3">
      <c r="G841" s="46"/>
      <c r="H841" s="39"/>
      <c r="N841" s="30"/>
      <c r="Q841" s="30"/>
      <c r="T841" s="35"/>
      <c r="Z841" s="32"/>
      <c r="AA841" s="30"/>
      <c r="AB841" s="30"/>
      <c r="AF841" s="48"/>
      <c r="AG841" s="27"/>
      <c r="AH841" s="27"/>
      <c r="AI841" s="6"/>
      <c r="AJ841" s="30"/>
    </row>
    <row r="842" spans="7:36" x14ac:dyDescent="0.3">
      <c r="G842" s="46"/>
      <c r="H842" s="39"/>
      <c r="N842" s="30"/>
      <c r="Q842" s="30"/>
      <c r="T842" s="35"/>
      <c r="Z842" s="32"/>
      <c r="AA842" s="30"/>
      <c r="AB842" s="30"/>
      <c r="AF842" s="48"/>
      <c r="AG842" s="27"/>
      <c r="AH842" s="27"/>
      <c r="AI842" s="6"/>
      <c r="AJ842" s="30"/>
    </row>
    <row r="843" spans="7:36" x14ac:dyDescent="0.3">
      <c r="G843" s="46"/>
      <c r="H843" s="39"/>
      <c r="N843" s="30"/>
      <c r="Q843" s="30"/>
      <c r="T843" s="35"/>
      <c r="Z843" s="32"/>
      <c r="AA843" s="30"/>
      <c r="AB843" s="30"/>
      <c r="AF843" s="48"/>
      <c r="AG843" s="27"/>
      <c r="AH843" s="27"/>
      <c r="AI843" s="6"/>
      <c r="AJ843" s="30"/>
    </row>
    <row r="844" spans="7:36" x14ac:dyDescent="0.3">
      <c r="G844" s="46"/>
      <c r="H844" s="39"/>
      <c r="N844" s="30"/>
      <c r="Q844" s="30"/>
      <c r="T844" s="35"/>
      <c r="Z844" s="32"/>
      <c r="AA844" s="30"/>
      <c r="AB844" s="30"/>
      <c r="AF844" s="48"/>
      <c r="AG844" s="27"/>
      <c r="AH844" s="27"/>
      <c r="AI844" s="6"/>
      <c r="AJ844" s="30"/>
    </row>
    <row r="845" spans="7:36" x14ac:dyDescent="0.3">
      <c r="G845" s="46"/>
      <c r="H845" s="39"/>
      <c r="N845" s="30"/>
      <c r="Q845" s="30"/>
      <c r="T845" s="35"/>
      <c r="Z845" s="32"/>
      <c r="AA845" s="30"/>
      <c r="AB845" s="30"/>
      <c r="AF845" s="48"/>
      <c r="AG845" s="27"/>
      <c r="AH845" s="27"/>
      <c r="AI845" s="6"/>
      <c r="AJ845" s="30"/>
    </row>
    <row r="846" spans="7:36" x14ac:dyDescent="0.3">
      <c r="G846" s="46"/>
      <c r="H846" s="39"/>
      <c r="N846" s="30"/>
      <c r="Q846" s="30"/>
      <c r="T846" s="35"/>
      <c r="Z846" s="32"/>
      <c r="AA846" s="30"/>
      <c r="AB846" s="30"/>
      <c r="AF846" s="48"/>
      <c r="AG846" s="27"/>
      <c r="AH846" s="27"/>
      <c r="AI846" s="6"/>
      <c r="AJ846" s="30"/>
    </row>
    <row r="847" spans="7:36" x14ac:dyDescent="0.3">
      <c r="G847" s="46"/>
      <c r="H847" s="39"/>
      <c r="N847" s="30"/>
      <c r="Q847" s="30"/>
      <c r="T847" s="35"/>
      <c r="Z847" s="32"/>
      <c r="AA847" s="30"/>
      <c r="AB847" s="30"/>
      <c r="AF847" s="48"/>
      <c r="AG847" s="27"/>
      <c r="AH847" s="27"/>
      <c r="AI847" s="6"/>
      <c r="AJ847" s="30"/>
    </row>
    <row r="848" spans="7:36" x14ac:dyDescent="0.3">
      <c r="G848" s="46"/>
      <c r="H848" s="39"/>
      <c r="N848" s="30"/>
      <c r="Q848" s="30"/>
      <c r="T848" s="35"/>
      <c r="Z848" s="32"/>
      <c r="AA848" s="30"/>
      <c r="AB848" s="30"/>
      <c r="AF848" s="48"/>
      <c r="AG848" s="27"/>
      <c r="AH848" s="27"/>
      <c r="AI848" s="6"/>
      <c r="AJ848" s="30"/>
    </row>
    <row r="849" spans="7:36" x14ac:dyDescent="0.3">
      <c r="G849" s="46"/>
      <c r="H849" s="39"/>
      <c r="N849" s="30"/>
      <c r="Q849" s="30"/>
      <c r="T849" s="35"/>
      <c r="Z849" s="32"/>
      <c r="AA849" s="30"/>
      <c r="AB849" s="30"/>
      <c r="AF849" s="48"/>
      <c r="AG849" s="27"/>
      <c r="AH849" s="27"/>
      <c r="AI849" s="6"/>
      <c r="AJ849" s="30"/>
    </row>
    <row r="850" spans="7:36" x14ac:dyDescent="0.3">
      <c r="G850" s="46"/>
      <c r="H850" s="39"/>
      <c r="N850" s="30"/>
      <c r="Q850" s="30"/>
      <c r="T850" s="35"/>
      <c r="Z850" s="32"/>
      <c r="AA850" s="30"/>
      <c r="AB850" s="30"/>
      <c r="AF850" s="48"/>
      <c r="AG850" s="27"/>
      <c r="AH850" s="27"/>
      <c r="AI850" s="6"/>
      <c r="AJ850" s="30"/>
    </row>
    <row r="851" spans="7:36" x14ac:dyDescent="0.3">
      <c r="G851" s="46"/>
      <c r="H851" s="39"/>
      <c r="N851" s="30"/>
      <c r="Q851" s="30"/>
      <c r="T851" s="35"/>
      <c r="Z851" s="32"/>
      <c r="AA851" s="30"/>
      <c r="AB851" s="30"/>
      <c r="AF851" s="48"/>
      <c r="AG851" s="27"/>
      <c r="AH851" s="27"/>
      <c r="AI851" s="6"/>
      <c r="AJ851" s="30"/>
    </row>
    <row r="852" spans="7:36" x14ac:dyDescent="0.3">
      <c r="G852" s="46"/>
      <c r="H852" s="39"/>
      <c r="N852" s="30"/>
      <c r="Q852" s="30"/>
      <c r="T852" s="35"/>
      <c r="Z852" s="32"/>
      <c r="AA852" s="30"/>
      <c r="AB852" s="30"/>
      <c r="AF852" s="48"/>
      <c r="AG852" s="27"/>
      <c r="AH852" s="27"/>
      <c r="AI852" s="6"/>
      <c r="AJ852" s="30"/>
    </row>
    <row r="853" spans="7:36" x14ac:dyDescent="0.3">
      <c r="G853" s="46"/>
      <c r="H853" s="39"/>
      <c r="N853" s="30"/>
      <c r="Q853" s="30"/>
      <c r="T853" s="35"/>
      <c r="Z853" s="32"/>
      <c r="AA853" s="30"/>
      <c r="AB853" s="30"/>
      <c r="AF853" s="48"/>
      <c r="AG853" s="27"/>
      <c r="AH853" s="27"/>
      <c r="AI853" s="6"/>
      <c r="AJ853" s="30"/>
    </row>
    <row r="854" spans="7:36" x14ac:dyDescent="0.3">
      <c r="G854" s="46"/>
      <c r="H854" s="39"/>
      <c r="N854" s="30"/>
      <c r="Q854" s="30"/>
      <c r="T854" s="35"/>
      <c r="Z854" s="32"/>
      <c r="AA854" s="30"/>
      <c r="AB854" s="30"/>
      <c r="AF854" s="48"/>
      <c r="AG854" s="27"/>
      <c r="AH854" s="27"/>
      <c r="AI854" s="6"/>
      <c r="AJ854" s="30"/>
    </row>
    <row r="855" spans="7:36" x14ac:dyDescent="0.3">
      <c r="G855" s="46"/>
      <c r="H855" s="39"/>
      <c r="N855" s="30"/>
      <c r="Q855" s="30"/>
      <c r="T855" s="35"/>
      <c r="Z855" s="32"/>
      <c r="AA855" s="30"/>
      <c r="AB855" s="30"/>
      <c r="AF855" s="48"/>
      <c r="AG855" s="27"/>
      <c r="AH855" s="27"/>
      <c r="AI855" s="6"/>
      <c r="AJ855" s="30"/>
    </row>
    <row r="856" spans="7:36" x14ac:dyDescent="0.3">
      <c r="G856" s="46"/>
      <c r="H856" s="39"/>
      <c r="N856" s="30"/>
      <c r="Q856" s="30"/>
      <c r="T856" s="35"/>
      <c r="Z856" s="32"/>
      <c r="AA856" s="30"/>
      <c r="AB856" s="30"/>
      <c r="AF856" s="48"/>
      <c r="AG856" s="27"/>
      <c r="AH856" s="27"/>
      <c r="AI856" s="6"/>
      <c r="AJ856" s="30"/>
    </row>
    <row r="857" spans="7:36" x14ac:dyDescent="0.3">
      <c r="G857" s="46"/>
      <c r="H857" s="39"/>
      <c r="N857" s="30"/>
      <c r="Q857" s="30"/>
      <c r="T857" s="35"/>
      <c r="Z857" s="32"/>
      <c r="AA857" s="30"/>
      <c r="AB857" s="30"/>
      <c r="AF857" s="48"/>
      <c r="AG857" s="27"/>
      <c r="AH857" s="27"/>
      <c r="AI857" s="6"/>
      <c r="AJ857" s="30"/>
    </row>
    <row r="858" spans="7:36" x14ac:dyDescent="0.3">
      <c r="G858" s="46"/>
      <c r="H858" s="39"/>
      <c r="N858" s="30"/>
      <c r="Q858" s="30"/>
      <c r="T858" s="35"/>
      <c r="Z858" s="32"/>
      <c r="AA858" s="30"/>
      <c r="AB858" s="30"/>
      <c r="AF858" s="48"/>
      <c r="AG858" s="27"/>
      <c r="AH858" s="27"/>
      <c r="AI858" s="6"/>
      <c r="AJ858" s="30"/>
    </row>
    <row r="859" spans="7:36" x14ac:dyDescent="0.3">
      <c r="G859" s="46"/>
      <c r="H859" s="39"/>
      <c r="N859" s="30"/>
      <c r="Q859" s="30"/>
      <c r="T859" s="35"/>
      <c r="Z859" s="32"/>
      <c r="AA859" s="30"/>
      <c r="AB859" s="30"/>
      <c r="AF859" s="48"/>
      <c r="AG859" s="27"/>
      <c r="AH859" s="27"/>
      <c r="AI859" s="6"/>
      <c r="AJ859" s="30"/>
    </row>
    <row r="860" spans="7:36" x14ac:dyDescent="0.3">
      <c r="G860" s="46"/>
      <c r="H860" s="39"/>
      <c r="N860" s="30"/>
      <c r="Q860" s="30"/>
      <c r="T860" s="35"/>
      <c r="Z860" s="32"/>
      <c r="AA860" s="30"/>
      <c r="AB860" s="30"/>
      <c r="AF860" s="48"/>
      <c r="AG860" s="27"/>
      <c r="AH860" s="27"/>
      <c r="AI860" s="6"/>
      <c r="AJ860" s="30"/>
    </row>
    <row r="861" spans="7:36" x14ac:dyDescent="0.3">
      <c r="G861" s="46"/>
      <c r="H861" s="39"/>
      <c r="N861" s="30"/>
      <c r="Q861" s="30"/>
      <c r="T861" s="35"/>
      <c r="Z861" s="32"/>
      <c r="AA861" s="30"/>
      <c r="AB861" s="30"/>
      <c r="AF861" s="48"/>
      <c r="AG861" s="27"/>
      <c r="AH861" s="27"/>
      <c r="AI861" s="6"/>
      <c r="AJ861" s="30"/>
    </row>
    <row r="862" spans="7:36" x14ac:dyDescent="0.3">
      <c r="G862" s="46"/>
      <c r="H862" s="39"/>
      <c r="N862" s="30"/>
      <c r="Q862" s="30"/>
      <c r="T862" s="35"/>
      <c r="Z862" s="32"/>
      <c r="AA862" s="30"/>
      <c r="AB862" s="30"/>
      <c r="AF862" s="48"/>
      <c r="AG862" s="27"/>
      <c r="AH862" s="27"/>
      <c r="AI862" s="6"/>
      <c r="AJ862" s="30"/>
    </row>
    <row r="863" spans="7:36" x14ac:dyDescent="0.3">
      <c r="G863" s="46"/>
      <c r="H863" s="39"/>
      <c r="N863" s="30"/>
      <c r="Q863" s="30"/>
      <c r="T863" s="35"/>
      <c r="Z863" s="32"/>
      <c r="AA863" s="30"/>
      <c r="AB863" s="30"/>
      <c r="AF863" s="48"/>
      <c r="AG863" s="27"/>
      <c r="AH863" s="27"/>
      <c r="AI863" s="6"/>
      <c r="AJ863" s="30"/>
    </row>
    <row r="864" spans="7:36" x14ac:dyDescent="0.3">
      <c r="G864" s="46"/>
      <c r="H864" s="39"/>
      <c r="N864" s="30"/>
      <c r="Q864" s="30"/>
      <c r="T864" s="35"/>
      <c r="Z864" s="32"/>
      <c r="AA864" s="30"/>
      <c r="AB864" s="30"/>
      <c r="AF864" s="48"/>
      <c r="AG864" s="27"/>
      <c r="AH864" s="27"/>
      <c r="AI864" s="6"/>
      <c r="AJ864" s="30"/>
    </row>
    <row r="865" spans="7:36" x14ac:dyDescent="0.3">
      <c r="G865" s="46"/>
      <c r="H865" s="39"/>
      <c r="N865" s="30"/>
      <c r="Q865" s="30"/>
      <c r="T865" s="35"/>
      <c r="Z865" s="32"/>
      <c r="AA865" s="30"/>
      <c r="AB865" s="30"/>
      <c r="AF865" s="48"/>
      <c r="AG865" s="27"/>
      <c r="AH865" s="27"/>
      <c r="AI865" s="6"/>
      <c r="AJ865" s="30"/>
    </row>
    <row r="866" spans="7:36" x14ac:dyDescent="0.3">
      <c r="G866" s="46"/>
      <c r="H866" s="39"/>
      <c r="N866" s="30"/>
      <c r="Q866" s="30"/>
      <c r="T866" s="35"/>
      <c r="Z866" s="32"/>
      <c r="AA866" s="30"/>
      <c r="AB866" s="30"/>
      <c r="AF866" s="48"/>
      <c r="AG866" s="27"/>
      <c r="AH866" s="27"/>
      <c r="AI866" s="6"/>
      <c r="AJ866" s="30"/>
    </row>
    <row r="867" spans="7:36" x14ac:dyDescent="0.3">
      <c r="G867" s="46"/>
      <c r="H867" s="39"/>
      <c r="N867" s="30"/>
      <c r="Q867" s="30"/>
      <c r="T867" s="35"/>
      <c r="Z867" s="32"/>
      <c r="AA867" s="30"/>
      <c r="AB867" s="30"/>
      <c r="AF867" s="48"/>
      <c r="AG867" s="27"/>
      <c r="AH867" s="27"/>
      <c r="AI867" s="6"/>
      <c r="AJ867" s="30"/>
    </row>
    <row r="868" spans="7:36" x14ac:dyDescent="0.3">
      <c r="G868" s="46"/>
      <c r="H868" s="39"/>
      <c r="N868" s="30"/>
      <c r="Q868" s="30"/>
      <c r="T868" s="35"/>
      <c r="Z868" s="32"/>
      <c r="AA868" s="30"/>
      <c r="AB868" s="30"/>
      <c r="AF868" s="48"/>
      <c r="AG868" s="27"/>
      <c r="AH868" s="27"/>
      <c r="AI868" s="6"/>
      <c r="AJ868" s="30"/>
    </row>
    <row r="869" spans="7:36" x14ac:dyDescent="0.3">
      <c r="G869" s="46"/>
      <c r="H869" s="39"/>
      <c r="N869" s="30"/>
      <c r="Q869" s="30"/>
      <c r="T869" s="35"/>
      <c r="Z869" s="32"/>
      <c r="AA869" s="30"/>
      <c r="AB869" s="30"/>
      <c r="AF869" s="48"/>
      <c r="AG869" s="27"/>
      <c r="AH869" s="27"/>
      <c r="AI869" s="6"/>
      <c r="AJ869" s="30"/>
    </row>
    <row r="870" spans="7:36" x14ac:dyDescent="0.3">
      <c r="G870" s="46"/>
      <c r="H870" s="39"/>
      <c r="N870" s="30"/>
      <c r="Q870" s="30"/>
      <c r="T870" s="35"/>
      <c r="Z870" s="32"/>
      <c r="AA870" s="30"/>
      <c r="AB870" s="30"/>
      <c r="AF870" s="48"/>
      <c r="AG870" s="27"/>
      <c r="AH870" s="27"/>
      <c r="AI870" s="6"/>
      <c r="AJ870" s="30"/>
    </row>
    <row r="871" spans="7:36" x14ac:dyDescent="0.3">
      <c r="G871" s="46"/>
      <c r="H871" s="39"/>
      <c r="N871" s="30"/>
      <c r="Q871" s="30"/>
      <c r="T871" s="35"/>
      <c r="Z871" s="32"/>
      <c r="AA871" s="30"/>
      <c r="AB871" s="30"/>
      <c r="AF871" s="48"/>
      <c r="AG871" s="27"/>
      <c r="AH871" s="27"/>
      <c r="AI871" s="6"/>
      <c r="AJ871" s="30"/>
    </row>
    <row r="872" spans="7:36" x14ac:dyDescent="0.3">
      <c r="G872" s="46"/>
      <c r="H872" s="39"/>
      <c r="N872" s="30"/>
      <c r="Q872" s="30"/>
      <c r="T872" s="35"/>
      <c r="Z872" s="32"/>
      <c r="AA872" s="30"/>
      <c r="AB872" s="30"/>
      <c r="AF872" s="48"/>
      <c r="AG872" s="27"/>
      <c r="AH872" s="27"/>
      <c r="AI872" s="6"/>
      <c r="AJ872" s="30"/>
    </row>
    <row r="873" spans="7:36" x14ac:dyDescent="0.3">
      <c r="G873" s="46"/>
      <c r="H873" s="40"/>
      <c r="N873" s="31"/>
      <c r="Q873" s="31"/>
      <c r="T873" s="36"/>
      <c r="Z873" s="33"/>
      <c r="AA873" s="31"/>
      <c r="AB873" s="31"/>
      <c r="AF873" s="49"/>
      <c r="AG873" s="28"/>
      <c r="AH873" s="28"/>
      <c r="AI873" s="6"/>
      <c r="AJ873" s="30"/>
    </row>
  </sheetData>
  <autoFilter ref="A2:AL348" xr:uid="{92606460-ECEF-47BE-B897-27960ABC7A4E}">
    <sortState xmlns:xlrd2="http://schemas.microsoft.com/office/spreadsheetml/2017/richdata2" ref="A3:AL348">
      <sortCondition descending="1" ref="T2:T348"/>
    </sortState>
  </autoFilter>
  <conditionalFormatting sqref="AF2">
    <cfRule type="duplicateValues" dxfId="1" priority="6"/>
  </conditionalFormatting>
  <conditionalFormatting sqref="AG2:AH2">
    <cfRule type="duplicateValues" dxfId="0" priority="3"/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8E07-E7B5-48E4-BDBE-9A6D5EC55E44}">
  <dimension ref="A1:B6"/>
  <sheetViews>
    <sheetView workbookViewId="0"/>
  </sheetViews>
  <sheetFormatPr defaultRowHeight="14.4" x14ac:dyDescent="0.3"/>
  <cols>
    <col min="2" max="2" width="10.109375" customWidth="1"/>
  </cols>
  <sheetData>
    <row r="1" spans="1:2" x14ac:dyDescent="0.3">
      <c r="A1" s="24" t="s">
        <v>38</v>
      </c>
      <c r="B1" s="24"/>
    </row>
    <row r="2" spans="1:2" x14ac:dyDescent="0.3">
      <c r="A2" s="23" t="s">
        <v>39</v>
      </c>
    </row>
    <row r="3" spans="1:2" x14ac:dyDescent="0.3">
      <c r="A3" s="23" t="s">
        <v>40</v>
      </c>
    </row>
    <row r="4" spans="1:2" x14ac:dyDescent="0.3">
      <c r="A4" s="25" t="s">
        <v>41</v>
      </c>
      <c r="B4" s="24"/>
    </row>
    <row r="5" spans="1:2" x14ac:dyDescent="0.3">
      <c r="A5" s="23" t="s">
        <v>42</v>
      </c>
    </row>
    <row r="6" spans="1:2" x14ac:dyDescent="0.3">
      <c r="A6" s="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Match Codes</vt:lpstr>
    </vt:vector>
  </TitlesOfParts>
  <Company>Consolidated Container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skatarya</dc:creator>
  <cp:lastModifiedBy>Hart, Monica</cp:lastModifiedBy>
  <cp:lastPrinted>2011-08-12T20:05:34Z</cp:lastPrinted>
  <dcterms:created xsi:type="dcterms:W3CDTF">2011-06-06T20:40:23Z</dcterms:created>
  <dcterms:modified xsi:type="dcterms:W3CDTF">2022-01-24T22:36:05Z</dcterms:modified>
</cp:coreProperties>
</file>